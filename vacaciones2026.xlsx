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PC\Desktop\NOMINA PRODUCCION\"/>
    </mc:Choice>
  </mc:AlternateContent>
  <xr:revisionPtr revIDLastSave="0" documentId="13_ncr:1_{52CE6FD2-3D47-4096-9945-3105DBBF9679}" xr6:coauthVersionLast="36" xr6:coauthVersionMax="36" xr10:uidLastSave="{00000000-0000-0000-0000-000000000000}"/>
  <bookViews>
    <workbookView xWindow="-30" yWindow="1380" windowWidth="10530" windowHeight="8025" activeTab="4" xr2:uid="{00000000-000D-0000-FFFF-FFFF00000000}"/>
  </bookViews>
  <sheets>
    <sheet name="2022-2023" sheetId="2" r:id="rId1"/>
    <sheet name="2023" sheetId="1" r:id="rId2"/>
    <sheet name="2024" sheetId="3" r:id="rId3"/>
    <sheet name="2025" sheetId="4" r:id="rId4"/>
    <sheet name="2026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2" i="5" l="1"/>
  <c r="AQ42" i="5" s="1"/>
  <c r="AP43" i="5"/>
  <c r="AQ43" i="5" s="1"/>
  <c r="AP41" i="5"/>
  <c r="AQ41" i="5" s="1"/>
  <c r="AP19" i="5"/>
  <c r="AQ19" i="5" s="1"/>
  <c r="AP32" i="5" l="1"/>
  <c r="AP39" i="5"/>
  <c r="AQ39" i="5" s="1"/>
  <c r="AQ32" i="5"/>
  <c r="AP44" i="5"/>
  <c r="AQ44" i="5" s="1"/>
  <c r="AP40" i="5"/>
  <c r="AQ40" i="5" s="1"/>
  <c r="AP38" i="5"/>
  <c r="AQ38" i="5" s="1"/>
  <c r="AP37" i="5"/>
  <c r="AQ37" i="5" s="1"/>
  <c r="AP36" i="5"/>
  <c r="AQ36" i="5" s="1"/>
  <c r="AP35" i="5"/>
  <c r="AQ35" i="5" s="1"/>
  <c r="AP34" i="5"/>
  <c r="AQ34" i="5" s="1"/>
  <c r="AP33" i="5"/>
  <c r="AQ33" i="5" s="1"/>
  <c r="AP31" i="5"/>
  <c r="AQ31" i="5" s="1"/>
  <c r="AP30" i="5"/>
  <c r="AQ30" i="5" s="1"/>
  <c r="AP29" i="5"/>
  <c r="AQ29" i="5" s="1"/>
  <c r="AP28" i="5"/>
  <c r="AQ28" i="5" s="1"/>
  <c r="AP27" i="5"/>
  <c r="AQ27" i="5" s="1"/>
  <c r="AP26" i="5"/>
  <c r="AQ26" i="5" s="1"/>
  <c r="AP25" i="5"/>
  <c r="AQ25" i="5" s="1"/>
  <c r="AP24" i="5"/>
  <c r="AQ24" i="5" s="1"/>
  <c r="AP23" i="5"/>
  <c r="AQ23" i="5" s="1"/>
  <c r="AP22" i="5"/>
  <c r="AQ22" i="5" s="1"/>
  <c r="AP21" i="5"/>
  <c r="AQ21" i="5" s="1"/>
  <c r="AP20" i="5"/>
  <c r="AQ20" i="5" s="1"/>
  <c r="AP18" i="5"/>
  <c r="AQ18" i="5" s="1"/>
  <c r="AP17" i="5"/>
  <c r="AQ17" i="5" s="1"/>
  <c r="AP16" i="5"/>
  <c r="AQ16" i="5" s="1"/>
  <c r="AP15" i="5"/>
  <c r="AQ15" i="5" s="1"/>
  <c r="AP14" i="5"/>
  <c r="AQ14" i="5" s="1"/>
  <c r="AP13" i="5"/>
  <c r="AQ13" i="5" s="1"/>
  <c r="AP12" i="5"/>
  <c r="AQ12" i="5" s="1"/>
  <c r="AP11" i="5"/>
  <c r="AQ11" i="5" s="1"/>
  <c r="AP10" i="5"/>
  <c r="AQ10" i="5" s="1"/>
  <c r="AP9" i="5"/>
  <c r="AQ9" i="5" s="1"/>
  <c r="AP8" i="5"/>
  <c r="AQ8" i="5" s="1"/>
  <c r="AP7" i="5"/>
  <c r="AQ7" i="5" s="1"/>
  <c r="AP6" i="5"/>
  <c r="AQ6" i="5" s="1"/>
  <c r="AP5" i="5"/>
  <c r="AQ5" i="5" s="1"/>
  <c r="AP4" i="5"/>
  <c r="AQ4" i="5" s="1"/>
  <c r="AQ45" i="5" l="1"/>
  <c r="AP45" i="5"/>
  <c r="AP42" i="4"/>
  <c r="AP43" i="4"/>
  <c r="AP44" i="4"/>
  <c r="AP45" i="4"/>
  <c r="AP46" i="4"/>
  <c r="AP47" i="4"/>
  <c r="AP48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41" i="4"/>
  <c r="AP5" i="4"/>
  <c r="AP6" i="4"/>
  <c r="AP7" i="4"/>
  <c r="AP8" i="4"/>
  <c r="AP9" i="4"/>
  <c r="AP10" i="4"/>
  <c r="AP11" i="4"/>
  <c r="AP12" i="4"/>
  <c r="AP13" i="4"/>
  <c r="AP14" i="4"/>
  <c r="AP15" i="4"/>
  <c r="C15" i="3" l="1"/>
  <c r="U15" i="3"/>
  <c r="V15" i="3" s="1"/>
  <c r="AQ15" i="4" l="1"/>
  <c r="AQ32" i="4"/>
  <c r="AQ48" i="4"/>
  <c r="AQ46" i="4"/>
  <c r="AQ45" i="4"/>
  <c r="AQ44" i="4"/>
  <c r="AQ43" i="4"/>
  <c r="AQ42" i="4"/>
  <c r="AQ41" i="4"/>
  <c r="AQ40" i="4"/>
  <c r="AQ39" i="4"/>
  <c r="AQ38" i="4"/>
  <c r="AQ37" i="4"/>
  <c r="AQ36" i="4"/>
  <c r="AQ35" i="4"/>
  <c r="AQ34" i="4"/>
  <c r="AQ31" i="4"/>
  <c r="AQ30" i="4"/>
  <c r="AQ29" i="4"/>
  <c r="AQ28" i="4"/>
  <c r="AQ27" i="4"/>
  <c r="AQ26" i="4"/>
  <c r="AQ25" i="4"/>
  <c r="AQ24" i="4"/>
  <c r="AQ33" i="4"/>
  <c r="AQ47" i="4"/>
  <c r="AQ7" i="4"/>
  <c r="AQ9" i="4"/>
  <c r="AQ10" i="4"/>
  <c r="AQ11" i="4"/>
  <c r="AQ12" i="4"/>
  <c r="AQ13" i="4"/>
  <c r="AQ14" i="4"/>
  <c r="AQ16" i="4"/>
  <c r="AQ17" i="4"/>
  <c r="AQ18" i="4"/>
  <c r="AQ19" i="4"/>
  <c r="AQ20" i="4"/>
  <c r="AQ21" i="4"/>
  <c r="AQ22" i="4"/>
  <c r="AQ23" i="4"/>
  <c r="AQ8" i="4"/>
  <c r="AQ6" i="4" l="1"/>
  <c r="AQ5" i="4"/>
  <c r="AP49" i="4" l="1"/>
  <c r="V27" i="1"/>
  <c r="W27" i="1" s="1"/>
  <c r="AQ49" i="4" l="1"/>
  <c r="C38" i="3"/>
  <c r="U32" i="3" l="1"/>
  <c r="V32" i="3" s="1"/>
  <c r="U35" i="3"/>
  <c r="U36" i="3"/>
  <c r="V36" i="3" s="1"/>
  <c r="U37" i="3"/>
  <c r="V37" i="3" s="1"/>
  <c r="U38" i="3"/>
  <c r="V38" i="3" s="1"/>
  <c r="U39" i="3"/>
  <c r="U40" i="3"/>
  <c r="U41" i="3"/>
  <c r="V41" i="3" s="1"/>
  <c r="U42" i="3"/>
  <c r="V42" i="3" s="1"/>
  <c r="U43" i="3"/>
  <c r="V43" i="3" s="1"/>
  <c r="U45" i="3"/>
  <c r="U46" i="3"/>
  <c r="U6" i="3"/>
  <c r="U7" i="3"/>
  <c r="U8" i="3"/>
  <c r="U9" i="3"/>
  <c r="U10" i="3"/>
  <c r="U11" i="3"/>
  <c r="U12" i="3"/>
  <c r="U13" i="3"/>
  <c r="U14" i="3"/>
  <c r="U16" i="3"/>
  <c r="V16" i="3" s="1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5" i="3"/>
  <c r="V5" i="3" s="1"/>
  <c r="V30" i="3" l="1"/>
  <c r="V20" i="3"/>
  <c r="V18" i="3"/>
  <c r="V7" i="3"/>
  <c r="V27" i="3"/>
  <c r="V21" i="3"/>
  <c r="V17" i="3"/>
  <c r="V12" i="3"/>
  <c r="V10" i="3"/>
  <c r="V6" i="3"/>
  <c r="U47" i="3"/>
  <c r="V21" i="1"/>
  <c r="V38" i="1" l="1"/>
  <c r="W38" i="1" s="1"/>
  <c r="C40" i="3" s="1"/>
  <c r="V40" i="3" s="1"/>
  <c r="V39" i="1"/>
  <c r="W39" i="1" s="1"/>
  <c r="V40" i="1"/>
  <c r="W40" i="1" s="1"/>
  <c r="V41" i="1"/>
  <c r="W41" i="1" s="1"/>
  <c r="V42" i="1"/>
  <c r="W42" i="1" s="1"/>
  <c r="V43" i="1"/>
  <c r="W43" i="1" s="1"/>
  <c r="C45" i="3" s="1"/>
  <c r="V45" i="3" s="1"/>
  <c r="V44" i="1"/>
  <c r="W44" i="1" s="1"/>
  <c r="C46" i="3" s="1"/>
  <c r="V46" i="3" s="1"/>
  <c r="V5" i="1"/>
  <c r="W5" i="1" s="1"/>
  <c r="V6" i="1"/>
  <c r="W6" i="1" s="1"/>
  <c r="V7" i="1"/>
  <c r="W7" i="1" s="1"/>
  <c r="V8" i="1"/>
  <c r="W8" i="1" s="1"/>
  <c r="C8" i="3" s="1"/>
  <c r="V8" i="3" s="1"/>
  <c r="V9" i="1"/>
  <c r="W9" i="1" s="1"/>
  <c r="V9" i="3" s="1"/>
  <c r="V10" i="1"/>
  <c r="W10" i="1" s="1"/>
  <c r="V11" i="1"/>
  <c r="W11" i="1" s="1"/>
  <c r="C11" i="3" s="1"/>
  <c r="V11" i="3" s="1"/>
  <c r="V12" i="1"/>
  <c r="W12" i="1" s="1"/>
  <c r="V13" i="1"/>
  <c r="W13" i="1" s="1"/>
  <c r="C13" i="3" s="1"/>
  <c r="V13" i="3" s="1"/>
  <c r="V14" i="1"/>
  <c r="W14" i="1" s="1"/>
  <c r="C14" i="3" s="1"/>
  <c r="V14" i="3" s="1"/>
  <c r="V15" i="1"/>
  <c r="W15" i="1" s="1"/>
  <c r="V16" i="1"/>
  <c r="W16" i="1" s="1"/>
  <c r="V17" i="1"/>
  <c r="W17" i="1" s="1"/>
  <c r="V18" i="1"/>
  <c r="W18" i="1" s="1"/>
  <c r="V19" i="1"/>
  <c r="W19" i="1" s="1"/>
  <c r="C19" i="3" s="1"/>
  <c r="V19" i="3" s="1"/>
  <c r="V20" i="1"/>
  <c r="W20" i="1" s="1"/>
  <c r="W21" i="1"/>
  <c r="V22" i="1"/>
  <c r="W22" i="1" s="1"/>
  <c r="C22" i="3" s="1"/>
  <c r="V22" i="3" s="1"/>
  <c r="V23" i="1"/>
  <c r="W23" i="1" s="1"/>
  <c r="C23" i="3" s="1"/>
  <c r="V23" i="3" s="1"/>
  <c r="V24" i="1"/>
  <c r="W24" i="1" s="1"/>
  <c r="C24" i="3" s="1"/>
  <c r="V24" i="3" s="1"/>
  <c r="V25" i="1"/>
  <c r="W25" i="1" s="1"/>
  <c r="C25" i="3" s="1"/>
  <c r="V25" i="3" s="1"/>
  <c r="V26" i="1"/>
  <c r="W26" i="1" s="1"/>
  <c r="C26" i="3" s="1"/>
  <c r="V26" i="3" s="1"/>
  <c r="V28" i="1"/>
  <c r="W28" i="1" s="1"/>
  <c r="C28" i="3" s="1"/>
  <c r="V28" i="3" s="1"/>
  <c r="V29" i="1"/>
  <c r="W29" i="1" s="1"/>
  <c r="C29" i="3" s="1"/>
  <c r="V29" i="3" s="1"/>
  <c r="V30" i="1"/>
  <c r="W30" i="1" s="1"/>
  <c r="V31" i="1"/>
  <c r="W31" i="1" s="1"/>
  <c r="V32" i="1"/>
  <c r="W32" i="1" s="1"/>
  <c r="C31" i="3" s="1"/>
  <c r="V31" i="3" s="1"/>
  <c r="V33" i="1"/>
  <c r="W33" i="1" s="1"/>
  <c r="C35" i="3" s="1"/>
  <c r="V35" i="3" s="1"/>
  <c r="V34" i="1"/>
  <c r="W34" i="1" s="1"/>
  <c r="V35" i="1"/>
  <c r="W35" i="1" s="1"/>
  <c r="V36" i="1"/>
  <c r="W36" i="1" s="1"/>
  <c r="V37" i="1"/>
  <c r="W37" i="1" s="1"/>
  <c r="C39" i="3" s="1"/>
  <c r="V39" i="3" s="1"/>
  <c r="V47" i="3" l="1"/>
  <c r="U49" i="3" s="1"/>
  <c r="V45" i="1"/>
  <c r="AA7" i="2"/>
  <c r="AA6" i="2"/>
  <c r="AA44" i="2" l="1"/>
  <c r="AB44" i="2" s="1"/>
  <c r="AA43" i="2"/>
  <c r="AB43" i="2" s="1"/>
  <c r="AA42" i="2"/>
  <c r="AB42" i="2" s="1"/>
  <c r="AA41" i="2"/>
  <c r="AB41" i="2" s="1"/>
  <c r="AA40" i="2"/>
  <c r="AB40" i="2" s="1"/>
  <c r="AA39" i="2"/>
  <c r="AB39" i="2" s="1"/>
  <c r="AA38" i="2"/>
  <c r="AB38" i="2" s="1"/>
  <c r="AA37" i="2"/>
  <c r="AB37" i="2" s="1"/>
  <c r="AA36" i="2"/>
  <c r="AB36" i="2" s="1"/>
  <c r="AA35" i="2"/>
  <c r="AB35" i="2" s="1"/>
  <c r="AA34" i="2"/>
  <c r="AB34" i="2" s="1"/>
  <c r="AA33" i="2"/>
  <c r="AB33" i="2" s="1"/>
  <c r="AA32" i="2"/>
  <c r="AB32" i="2" s="1"/>
  <c r="AA31" i="2"/>
  <c r="AB31" i="2" s="1"/>
  <c r="AA30" i="2"/>
  <c r="AB30" i="2" s="1"/>
  <c r="AA29" i="2"/>
  <c r="AB29" i="2" s="1"/>
  <c r="AA28" i="2"/>
  <c r="AB28" i="2" s="1"/>
  <c r="AA27" i="2"/>
  <c r="AB27" i="2" s="1"/>
  <c r="AA26" i="2"/>
  <c r="AB26" i="2" s="1"/>
  <c r="AA25" i="2"/>
  <c r="AB25" i="2" s="1"/>
  <c r="AA24" i="2"/>
  <c r="AB24" i="2" s="1"/>
  <c r="AA23" i="2"/>
  <c r="AB23" i="2" s="1"/>
  <c r="AA22" i="2"/>
  <c r="AB22" i="2" s="1"/>
  <c r="AA21" i="2"/>
  <c r="AB21" i="2" s="1"/>
  <c r="AA20" i="2"/>
  <c r="AB20" i="2" s="1"/>
  <c r="AA19" i="2"/>
  <c r="AB19" i="2" s="1"/>
  <c r="AA18" i="2"/>
  <c r="AB18" i="2" s="1"/>
  <c r="AA17" i="2"/>
  <c r="AB17" i="2" s="1"/>
  <c r="AA16" i="2"/>
  <c r="AB16" i="2" s="1"/>
  <c r="AA15" i="2"/>
  <c r="AB15" i="2" s="1"/>
  <c r="AA14" i="2"/>
  <c r="AB14" i="2" s="1"/>
  <c r="AA13" i="2"/>
  <c r="AB13" i="2" s="1"/>
  <c r="AA12" i="2"/>
  <c r="AB12" i="2" s="1"/>
  <c r="AA11" i="2"/>
  <c r="AB11" i="2" s="1"/>
  <c r="AA10" i="2"/>
  <c r="AB10" i="2" s="1"/>
  <c r="AA9" i="2"/>
  <c r="AB9" i="2" s="1"/>
  <c r="AA8" i="2"/>
  <c r="AB8" i="2" s="1"/>
  <c r="AB7" i="2"/>
  <c r="AB6" i="2"/>
  <c r="AA5" i="2"/>
  <c r="AB5" i="2" s="1"/>
  <c r="W45" i="1" l="1"/>
  <c r="V47" i="1" s="1"/>
</calcChain>
</file>

<file path=xl/sharedStrings.xml><?xml version="1.0" encoding="utf-8"?>
<sst xmlns="http://schemas.openxmlformats.org/spreadsheetml/2006/main" count="650" uniqueCount="281">
  <si>
    <t>ALMA LIDIA GASTELUM HERNANDEZ</t>
  </si>
  <si>
    <t>HILDA BEATRIZ BELTRAN LOPEZ</t>
  </si>
  <si>
    <t>ANA MARIA SUAREZ PALOMARES</t>
  </si>
  <si>
    <t>MISAEL VELAZQUEZ GUERRERO</t>
  </si>
  <si>
    <t>JOSE ALFREDO VALVERDE TOLOSA</t>
  </si>
  <si>
    <t>MARIA MAGDALENA GARCIA LEON</t>
  </si>
  <si>
    <t>ALICIA ISABEL SICAIROS AGUIRRE</t>
  </si>
  <si>
    <t>MARIA CRISTINA BARRAZA VIZCARRA</t>
  </si>
  <si>
    <t>AMERICA NATHALY VEGA GONZALEZ</t>
  </si>
  <si>
    <t>YUKIE LIZETH PACHECO RAMIREZ</t>
  </si>
  <si>
    <t>MAURA LIZETH BERNAL LOPEZ</t>
  </si>
  <si>
    <t>JOSE VALDEMAR CORVERA CARDENAS</t>
  </si>
  <si>
    <t>LIZBETH GUADALUPE GALAZ RIVERA</t>
  </si>
  <si>
    <t>FRANCISCO JAVIER AYALA HERNANDEZ</t>
  </si>
  <si>
    <t>JUAN CARLOS PACHECO PEREZ</t>
  </si>
  <si>
    <t>BRAYAN URIEL ANGULO RAMIREZ</t>
  </si>
  <si>
    <t>PEDRO IVAN BELTRAN URIARTE</t>
  </si>
  <si>
    <t>JOSE GUADALUPE GARCIA CANCHOLA</t>
  </si>
  <si>
    <t>JOSE AGUSTIN MENDOZA SEPULVEDA</t>
  </si>
  <si>
    <t>ANGEL GERARDO LOPEZ FLORES</t>
  </si>
  <si>
    <t>MARIO ALBERTO VARGAS HERNANDEZ</t>
  </si>
  <si>
    <t>LLUVIA DE JESUS ROMERO SARABIA</t>
  </si>
  <si>
    <t>EDGAR SAUL FRAGA MELCHOR</t>
  </si>
  <si>
    <t>JULIO CESAR ARAUJO</t>
  </si>
  <si>
    <t>JORGE ENRIQUE ARELLANES CHAVEZ</t>
  </si>
  <si>
    <t>ANTONY MEDRANO LOPEZ</t>
  </si>
  <si>
    <t>JOSEFINA DE JESUS RAMOS ACOSTA</t>
  </si>
  <si>
    <t>ELISA GUADALUPE GARCIA GONZALEZ</t>
  </si>
  <si>
    <t>OSCAR VICENTE VALDEZ BURGUEÑO</t>
  </si>
  <si>
    <t>ANTONIO NUÑEZ RAMOS</t>
  </si>
  <si>
    <t>LUIS ALFREDO RODRIGEZ VALVERDE</t>
  </si>
  <si>
    <t>JANETH JOSEFINA GONZALEZ ROSALES</t>
  </si>
  <si>
    <t>JACQUELINE GUADALUPE IRIARTE FELIX</t>
  </si>
  <si>
    <t>JHENIFER BARRAZA LOPEZ</t>
  </si>
  <si>
    <t>GUADALUPE LEYVA ARAUJO</t>
  </si>
  <si>
    <t>MARITZA LOPEZ LOPEZ</t>
  </si>
  <si>
    <t>JESSICA TIRADO ZAMUDIO</t>
  </si>
  <si>
    <t xml:space="preserve">LUZ FERNANDA OLIVAS ROSAS </t>
  </si>
  <si>
    <t>ERNESTO LIZARRAGA LEON</t>
  </si>
  <si>
    <t>VICTOR HUGO NUÑEZ BENITEZ</t>
  </si>
  <si>
    <t>16-OCT-04-NOV</t>
  </si>
  <si>
    <t>10-11 ABR</t>
  </si>
  <si>
    <t>JUN</t>
  </si>
  <si>
    <t>7-8-10-JUL</t>
  </si>
  <si>
    <t>AGO</t>
  </si>
  <si>
    <t>1-19-AGO</t>
  </si>
  <si>
    <t>7-08-NOV</t>
  </si>
  <si>
    <t>17-22-JUL</t>
  </si>
  <si>
    <t>26-AGO-02-SEP</t>
  </si>
  <si>
    <t>09-11-NOV</t>
  </si>
  <si>
    <t>07-11-FEB</t>
  </si>
  <si>
    <t>02-09-SEP</t>
  </si>
  <si>
    <t>24-29-JUL</t>
  </si>
  <si>
    <t>02-17-18-19-AGO</t>
  </si>
  <si>
    <t>24-25-AGO</t>
  </si>
  <si>
    <t>07-16-AGO</t>
  </si>
  <si>
    <t>21-23-MAR</t>
  </si>
  <si>
    <t>01-08-ABRI</t>
  </si>
  <si>
    <t>24-27-JUL</t>
  </si>
  <si>
    <t>15-MAR-PAGARON</t>
  </si>
  <si>
    <t>31-ENE-PAGARON</t>
  </si>
  <si>
    <t>03-08-ABR</t>
  </si>
  <si>
    <t>23-29-MAY</t>
  </si>
  <si>
    <t>15-SEP-PAGARON</t>
  </si>
  <si>
    <t>09-28-MAR</t>
  </si>
  <si>
    <t>05-26-JUL</t>
  </si>
  <si>
    <t>24-28-JUL</t>
  </si>
  <si>
    <t>14-17-ABR</t>
  </si>
  <si>
    <t>15-25-JUL</t>
  </si>
  <si>
    <t>26-27-JUL</t>
  </si>
  <si>
    <t>13-19-SEP</t>
  </si>
  <si>
    <t>28-29-SEP</t>
  </si>
  <si>
    <t>09-10-NOV</t>
  </si>
  <si>
    <t>29-MAY-03-JUN</t>
  </si>
  <si>
    <t>18-25-NOV</t>
  </si>
  <si>
    <t>Dias Pendientes</t>
  </si>
  <si>
    <t>al 11 Nov-23</t>
  </si>
  <si>
    <t>Vacaciones Pendientes (Dias Por Periodo)</t>
  </si>
  <si>
    <t>Dias Gozados Durante El Ejercicio (Dias-Periodo)</t>
  </si>
  <si>
    <t>Total Días</t>
  </si>
  <si>
    <t>Gozados</t>
  </si>
  <si>
    <t xml:space="preserve">Fecha De </t>
  </si>
  <si>
    <t>Ingreso</t>
  </si>
  <si>
    <t>Dias</t>
  </si>
  <si>
    <t>Periodo</t>
  </si>
  <si>
    <t xml:space="preserve">NOTA-CUANDO SE FUE DE VACACIONES SE LE PAGARON COMPLETAS EN CASO DE OCUPAR LOS DIAS VA SER PERMISO SIN GOSE DE SUELDO </t>
  </si>
  <si>
    <t>ENE</t>
  </si>
  <si>
    <t>FEB</t>
  </si>
  <si>
    <t>MAR</t>
  </si>
  <si>
    <t>21-MAR-01-ABR</t>
  </si>
  <si>
    <t>12-13-23-ENE</t>
  </si>
  <si>
    <t>01-09-SEP</t>
  </si>
  <si>
    <t>03/08-JUL</t>
  </si>
  <si>
    <t>19-20-23-ENE</t>
  </si>
  <si>
    <t>22-25-SEP</t>
  </si>
  <si>
    <t>23-25-SEP</t>
  </si>
  <si>
    <t>10-18-FEB</t>
  </si>
  <si>
    <t>10-15-ABR</t>
  </si>
  <si>
    <t>24 AL 27 NOV</t>
  </si>
  <si>
    <t>SE PAGO-30-NOV</t>
  </si>
  <si>
    <t>21-22-NOV</t>
  </si>
  <si>
    <t>21 AL 25-NOV</t>
  </si>
  <si>
    <t>25-29-30-NOV</t>
  </si>
  <si>
    <t>SE PAGO 30-NOV</t>
  </si>
  <si>
    <t xml:space="preserve">DIAS </t>
  </si>
  <si>
    <t>Vacaciones</t>
  </si>
  <si>
    <t>Pendientes</t>
  </si>
  <si>
    <t>30-NOV-PAGADO</t>
  </si>
  <si>
    <t>PERIODO 2022</t>
  </si>
  <si>
    <t>04 AL 12 DIC</t>
  </si>
  <si>
    <t>22-23-DIC</t>
  </si>
  <si>
    <t>30-DIC-PAGARON</t>
  </si>
  <si>
    <t>29-30-DIC</t>
  </si>
  <si>
    <t>PERIODO 2021-2022</t>
  </si>
  <si>
    <t xml:space="preserve">TOCAN 14 DIAS </t>
  </si>
  <si>
    <t xml:space="preserve">PAGO PRIMA Y RESTO DE DIAS </t>
  </si>
  <si>
    <t>02-03-ENE-2024</t>
  </si>
  <si>
    <t>ISAURO FELIPE RIVERA ACOSTA</t>
  </si>
  <si>
    <t>EMILIA LEAL ROMAN</t>
  </si>
  <si>
    <t>ISABEL SAENZ LEON</t>
  </si>
  <si>
    <t>EMPLEADOS</t>
  </si>
  <si>
    <t>30-17 FEB</t>
  </si>
  <si>
    <t>al 17 Ene-24</t>
  </si>
  <si>
    <t>06-10-FEB</t>
  </si>
  <si>
    <t>VACACIONES PAGADAS 31-ENE-2024</t>
  </si>
  <si>
    <t>29-E-AL-02-FEB</t>
  </si>
  <si>
    <t>07-28-DIC</t>
  </si>
  <si>
    <t>10-12-FEB</t>
  </si>
  <si>
    <t>07-14-FEB</t>
  </si>
  <si>
    <t>16 AL 19 FEB</t>
  </si>
  <si>
    <t>15 AL 19 MAR</t>
  </si>
  <si>
    <t>PAGO 15-FEB</t>
  </si>
  <si>
    <t>19 AL 25 MAR</t>
  </si>
  <si>
    <t xml:space="preserve">31-MAR PAGO RESTO </t>
  </si>
  <si>
    <t>01 AL 05 ABR</t>
  </si>
  <si>
    <t>11-13-MAY</t>
  </si>
  <si>
    <t>13-25-MAR</t>
  </si>
  <si>
    <t>03-09-23-ABR</t>
  </si>
  <si>
    <t>06-17-25-MAY</t>
  </si>
  <si>
    <t>19-22-JUN</t>
  </si>
  <si>
    <t>05-06-JUL</t>
  </si>
  <si>
    <t>29-JUN-05-JUL</t>
  </si>
  <si>
    <t>05 AL 13 JUL</t>
  </si>
  <si>
    <t>03 al 10 AGO</t>
  </si>
  <si>
    <t>22 AL 27 JUL</t>
  </si>
  <si>
    <t>29 AL 03 AGO</t>
  </si>
  <si>
    <t>15 AL 27 JUL</t>
  </si>
  <si>
    <t>26 AL 12 AGO</t>
  </si>
  <si>
    <t>VACACIONES PAGADAS 15-AGO-2024</t>
  </si>
  <si>
    <t>10-30-ABR</t>
  </si>
  <si>
    <t>02-AL 10 AGO</t>
  </si>
  <si>
    <t xml:space="preserve">RESTO DE DIAS SE LIQUIDO </t>
  </si>
  <si>
    <t>7-08-21-NOV</t>
  </si>
  <si>
    <t>02-25-MAY</t>
  </si>
  <si>
    <t>07 AL 14 OCT</t>
  </si>
  <si>
    <t>02-15-OCT</t>
  </si>
  <si>
    <t>12-13-15-JUL</t>
  </si>
  <si>
    <t>JESUS ALBERTO MORGAN CHAVEZ</t>
  </si>
  <si>
    <t>GLORIA GISELLE ALVAREZ HERNANDEZ</t>
  </si>
  <si>
    <t xml:space="preserve">ORLANDO RAMON VALDEZ GARCIA </t>
  </si>
  <si>
    <t>18-30-MAY</t>
  </si>
  <si>
    <t>PAGARON</t>
  </si>
  <si>
    <t>13-22-MAR</t>
  </si>
  <si>
    <t>MARIA FERNANDA RODRIGUEZ ARMENTA</t>
  </si>
  <si>
    <t>CLAUDIA LIZBETH JUAREZ LOPEZ</t>
  </si>
  <si>
    <t>MARIO ALBERTO OCHOA CASTAÑEDA</t>
  </si>
  <si>
    <t>LAURA RAMIREZ SANTIAGO</t>
  </si>
  <si>
    <t>PAGADOS</t>
  </si>
  <si>
    <t>03-ago-30-sep</t>
  </si>
  <si>
    <t>15-23-OCT</t>
  </si>
  <si>
    <t>09-JUN-18-JUL</t>
  </si>
  <si>
    <t>21-DIC-PAGADOS</t>
  </si>
  <si>
    <t>30-31-DIC</t>
  </si>
  <si>
    <t>VACACIONES PAGADAS 15-ENE-2025</t>
  </si>
  <si>
    <t>17-25-MAY</t>
  </si>
  <si>
    <t>LUIS ROBERTO BELTRAN OJEDA</t>
  </si>
  <si>
    <t>BRYANDA GISSEL BELTRAN FELIX</t>
  </si>
  <si>
    <t>MARCO JESUS BURGUEÑO GAXIOLA</t>
  </si>
  <si>
    <t>01-04-FEB</t>
  </si>
  <si>
    <t>17-25-ENE</t>
  </si>
  <si>
    <t>07-08-FEB</t>
  </si>
  <si>
    <t>09-24-SEP</t>
  </si>
  <si>
    <t>24-25-FEB</t>
  </si>
  <si>
    <t>21 AL 24 FEB</t>
  </si>
  <si>
    <t>17FEB AL 01MAR</t>
  </si>
  <si>
    <t>22-24-FEB</t>
  </si>
  <si>
    <t>19 AL 22 FEB</t>
  </si>
  <si>
    <t xml:space="preserve">Dias </t>
  </si>
  <si>
    <t>01 al 08 mar</t>
  </si>
  <si>
    <t>08-13-mar</t>
  </si>
  <si>
    <t>02 AL 23 SEP</t>
  </si>
  <si>
    <t>05-10-12-mar</t>
  </si>
  <si>
    <t>9 AL12 ABR</t>
  </si>
  <si>
    <t>18-19-ABR</t>
  </si>
  <si>
    <t>22 AL 28 ABR</t>
  </si>
  <si>
    <t>18-19-21-ABR</t>
  </si>
  <si>
    <t>JESUS EDUARDO BELTRAN LOPEZ</t>
  </si>
  <si>
    <t>17-18-19-ABR</t>
  </si>
  <si>
    <t>17-18-ABR</t>
  </si>
  <si>
    <t>JUAN ANTONIO IRIARTE LEON</t>
  </si>
  <si>
    <t>GUILLERMO PEÑUELAS LUGO</t>
  </si>
  <si>
    <t>18 AL 22 ABR</t>
  </si>
  <si>
    <t>02-03-MAY</t>
  </si>
  <si>
    <t>19-20-21-MAY</t>
  </si>
  <si>
    <t>09 AL 14 JUN</t>
  </si>
  <si>
    <t>18 al 21 JUN</t>
  </si>
  <si>
    <t>18 al 27 JUN</t>
  </si>
  <si>
    <t>25-26-JUN</t>
  </si>
  <si>
    <t>24-25-26-JUN</t>
  </si>
  <si>
    <t>25-JUN A 21-JUL</t>
  </si>
  <si>
    <t>05-07-08-JUL</t>
  </si>
  <si>
    <t>VACACIONES PAGADAS 15-JUL-2025</t>
  </si>
  <si>
    <t>28 al 12 AGO</t>
  </si>
  <si>
    <t>01 AL 21 AGO</t>
  </si>
  <si>
    <t>14 AL 18 JUL</t>
  </si>
  <si>
    <t>18-19-JUL</t>
  </si>
  <si>
    <t>PAGADAS</t>
  </si>
  <si>
    <t>21 AL 26 JUL</t>
  </si>
  <si>
    <t>06 AL 09 AGO</t>
  </si>
  <si>
    <t>04-05-AGO</t>
  </si>
  <si>
    <t>DEL 25 AL 29 AGO</t>
  </si>
  <si>
    <t>16-18-AGO</t>
  </si>
  <si>
    <t>23-25-AGO</t>
  </si>
  <si>
    <t>03 AL 06 SEP</t>
  </si>
  <si>
    <t>01 AL 06 SEP</t>
  </si>
  <si>
    <t>01 AL 15 SEP</t>
  </si>
  <si>
    <t>01-02-SEP</t>
  </si>
  <si>
    <t>13-15-SEP</t>
  </si>
  <si>
    <t>PAGARON 15-SEP</t>
  </si>
  <si>
    <t>05-06-SEP</t>
  </si>
  <si>
    <t>12-13-SEP</t>
  </si>
  <si>
    <t>10 SEP AL 04 OCT</t>
  </si>
  <si>
    <t>29 SEP AL 03 OCT</t>
  </si>
  <si>
    <t>GRECIA CARRANZA MARTINEZ</t>
  </si>
  <si>
    <t>26-27-SEP</t>
  </si>
  <si>
    <t>29-30-SEP</t>
  </si>
  <si>
    <t>23 AL 30 SEP</t>
  </si>
  <si>
    <t>17 SEP AL 01 OCT</t>
  </si>
  <si>
    <t>09 AL 16 OCT</t>
  </si>
  <si>
    <t>25-27-OCT</t>
  </si>
  <si>
    <t>01 AL 14 NOV</t>
  </si>
  <si>
    <t>10 al 12 NOV</t>
  </si>
  <si>
    <t>13 al 24 NOV</t>
  </si>
  <si>
    <t>12 al 15 NOV</t>
  </si>
  <si>
    <t>03 al 08 NOV</t>
  </si>
  <si>
    <t>05-06-NOV</t>
  </si>
  <si>
    <t>31 OCT AL 03 NOV</t>
  </si>
  <si>
    <t>26-27-NOV</t>
  </si>
  <si>
    <t>PAGADOS 15-DIC</t>
  </si>
  <si>
    <t>PAGADOS-15-DIC</t>
  </si>
  <si>
    <t>08-09-10-DIC</t>
  </si>
  <si>
    <t>15-16-17-DIC</t>
  </si>
  <si>
    <t>PAGADOS-31-DIC</t>
  </si>
  <si>
    <t>KIARA BELEN MORENO AGUIRRE</t>
  </si>
  <si>
    <t>ELLIOT CHRISTOPHER REYES BERNAL</t>
  </si>
  <si>
    <t>LUIS ANGEL CHAVEZ TORRECILLAS</t>
  </si>
  <si>
    <t>05 al 10 ENE</t>
  </si>
  <si>
    <t>Dias Vacaciones</t>
  </si>
  <si>
    <t>DEL 19 AL 23 FEB</t>
  </si>
  <si>
    <t>16-17-FEB</t>
  </si>
  <si>
    <t>DEL 06 AL 09 MAR</t>
  </si>
  <si>
    <t xml:space="preserve">DEL 25 AL 28 FEB </t>
  </si>
  <si>
    <t>30 MAR AL 07 ABR</t>
  </si>
  <si>
    <t>08 AL 11 ABR</t>
  </si>
  <si>
    <t>30 MAR AL 04 ABR</t>
  </si>
  <si>
    <t>25 MAR AL 08 ABR</t>
  </si>
  <si>
    <t>27 MAR AL 04 ABR</t>
  </si>
  <si>
    <t>23 AL 28 MAR</t>
  </si>
  <si>
    <t>03-04-ABR</t>
  </si>
  <si>
    <t>03-04-06-ABR</t>
  </si>
  <si>
    <t>02-03-04-ABR</t>
  </si>
  <si>
    <t>al 14 Abr-26</t>
  </si>
  <si>
    <t>LUIS ANGEL ABITIA CASTRO</t>
  </si>
  <si>
    <t>13 AL 18 ABR</t>
  </si>
  <si>
    <t>CARLOS QUINTERO</t>
  </si>
  <si>
    <t>FERNANDO LUISAUL BELTRAN OJEDA</t>
  </si>
  <si>
    <t>08 AL 11 ENE</t>
  </si>
  <si>
    <t>20 AL 29 ENE</t>
  </si>
  <si>
    <t>16-17-MAY</t>
  </si>
  <si>
    <t>22 AL 28 ENE</t>
  </si>
  <si>
    <t>12-13-DIC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</si>
</sst>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rgb="FFFF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color rgb="FFFF0000"/>
      <name val="Arial"/>
      <family val="2"/>
    </font>
    <font>
      <sz val="9"/>
      <color rgb="FF00B050"/>
      <name val="Arial"/>
      <family val="2"/>
    </font>
    <font>
      <sz val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8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2" fillId="0" borderId="17" xfId="0" applyFont="1" applyFill="1" applyBorder="1"/>
    <xf numFmtId="0" fontId="2" fillId="0" borderId="3" xfId="0" applyFont="1" applyFill="1" applyBorder="1"/>
    <xf numFmtId="0" fontId="2" fillId="0" borderId="0" xfId="0" applyFont="1" applyFill="1" applyAlignment="1">
      <alignment horizontal="center"/>
    </xf>
    <xf numFmtId="0" fontId="2" fillId="0" borderId="18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1" fillId="0" borderId="1" xfId="0" applyFont="1" applyFill="1" applyBorder="1"/>
    <xf numFmtId="0" fontId="2" fillId="0" borderId="17" xfId="0" applyFont="1" applyFill="1" applyBorder="1" applyAlignment="1">
      <alignment horizontal="center"/>
    </xf>
    <xf numFmtId="0" fontId="2" fillId="0" borderId="2" xfId="0" applyFont="1" applyFill="1" applyBorder="1"/>
    <xf numFmtId="0" fontId="1" fillId="0" borderId="5" xfId="0" applyFont="1" applyFill="1" applyBorder="1"/>
    <xf numFmtId="0" fontId="2" fillId="0" borderId="19" xfId="0" applyFont="1" applyFill="1" applyBorder="1" applyAlignment="1">
      <alignment horizontal="center"/>
    </xf>
    <xf numFmtId="0" fontId="2" fillId="0" borderId="6" xfId="0" applyFont="1" applyFill="1" applyBorder="1"/>
    <xf numFmtId="0" fontId="2" fillId="0" borderId="19" xfId="0" applyFont="1" applyFill="1" applyBorder="1"/>
    <xf numFmtId="0" fontId="2" fillId="0" borderId="6" xfId="0" applyFont="1" applyFill="1" applyBorder="1" applyAlignment="1">
      <alignment horizontal="center"/>
    </xf>
    <xf numFmtId="0" fontId="2" fillId="0" borderId="7" xfId="0" applyFont="1" applyFill="1" applyBorder="1"/>
    <xf numFmtId="0" fontId="1" fillId="0" borderId="8" xfId="0" applyFont="1" applyFill="1" applyBorder="1"/>
    <xf numFmtId="14" fontId="1" fillId="0" borderId="9" xfId="0" applyNumberFormat="1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16" fontId="1" fillId="0" borderId="9" xfId="0" applyNumberFormat="1" applyFont="1" applyFill="1" applyBorder="1" applyAlignment="1">
      <alignment horizontal="center"/>
    </xf>
    <xf numFmtId="0" fontId="1" fillId="0" borderId="11" xfId="0" applyFont="1" applyFill="1" applyBorder="1"/>
    <xf numFmtId="14" fontId="1" fillId="0" borderId="12" xfId="0" applyNumberFormat="1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16" fontId="1" fillId="0" borderId="12" xfId="0" applyNumberFormat="1" applyFont="1" applyFill="1" applyBorder="1" applyAlignment="1">
      <alignment horizontal="center"/>
    </xf>
    <xf numFmtId="0" fontId="1" fillId="0" borderId="14" xfId="0" applyFont="1" applyFill="1" applyBorder="1"/>
    <xf numFmtId="14" fontId="1" fillId="0" borderId="15" xfId="0" applyNumberFormat="1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0" xfId="0" applyFont="1" applyFill="1"/>
    <xf numFmtId="0" fontId="2" fillId="0" borderId="20" xfId="0" applyFont="1" applyFill="1" applyBorder="1" applyAlignment="1">
      <alignment horizontal="center"/>
    </xf>
    <xf numFmtId="14" fontId="1" fillId="0" borderId="21" xfId="0" applyNumberFormat="1" applyFont="1" applyFill="1" applyBorder="1" applyAlignment="1">
      <alignment horizontal="center"/>
    </xf>
    <xf numFmtId="0" fontId="1" fillId="0" borderId="21" xfId="0" applyFont="1" applyFill="1" applyBorder="1" applyAlignment="1">
      <alignment horizontal="center"/>
    </xf>
    <xf numFmtId="16" fontId="1" fillId="0" borderId="21" xfId="0" applyNumberFormat="1" applyFont="1" applyFill="1" applyBorder="1" applyAlignment="1">
      <alignment horizontal="center"/>
    </xf>
    <xf numFmtId="0" fontId="2" fillId="0" borderId="22" xfId="0" applyFont="1" applyFill="1" applyBorder="1"/>
    <xf numFmtId="0" fontId="2" fillId="0" borderId="23" xfId="0" applyFont="1" applyFill="1" applyBorder="1" applyAlignment="1">
      <alignment horizontal="center"/>
    </xf>
    <xf numFmtId="0" fontId="2" fillId="0" borderId="24" xfId="0" applyFont="1" applyFill="1" applyBorder="1" applyAlignment="1">
      <alignment horizontal="center"/>
    </xf>
    <xf numFmtId="0" fontId="2" fillId="0" borderId="23" xfId="0" applyFont="1" applyFill="1" applyBorder="1"/>
    <xf numFmtId="0" fontId="2" fillId="0" borderId="25" xfId="0" applyFont="1" applyFill="1" applyBorder="1"/>
    <xf numFmtId="0" fontId="2" fillId="0" borderId="26" xfId="0" applyFont="1" applyFill="1" applyBorder="1"/>
    <xf numFmtId="0" fontId="2" fillId="0" borderId="0" xfId="0" applyFont="1" applyFill="1" applyBorder="1" applyAlignment="1">
      <alignment horizontal="center"/>
    </xf>
    <xf numFmtId="0" fontId="2" fillId="0" borderId="27" xfId="0" applyFont="1" applyFill="1" applyBorder="1" applyAlignment="1">
      <alignment horizontal="center"/>
    </xf>
    <xf numFmtId="0" fontId="2" fillId="0" borderId="28" xfId="0" applyFont="1" applyFill="1" applyBorder="1"/>
    <xf numFmtId="0" fontId="2" fillId="0" borderId="29" xfId="0" applyFont="1" applyFill="1" applyBorder="1" applyAlignment="1">
      <alignment horizontal="center"/>
    </xf>
    <xf numFmtId="0" fontId="2" fillId="0" borderId="30" xfId="0" applyFont="1" applyFill="1" applyBorder="1"/>
    <xf numFmtId="0" fontId="1" fillId="0" borderId="31" xfId="0" applyFont="1" applyFill="1" applyBorder="1"/>
    <xf numFmtId="0" fontId="1" fillId="0" borderId="32" xfId="0" applyFont="1" applyFill="1" applyBorder="1" applyAlignment="1">
      <alignment horizontal="center"/>
    </xf>
    <xf numFmtId="0" fontId="1" fillId="0" borderId="33" xfId="0" applyFont="1" applyFill="1" applyBorder="1"/>
    <xf numFmtId="14" fontId="1" fillId="0" borderId="34" xfId="0" applyNumberFormat="1" applyFont="1" applyFill="1" applyBorder="1" applyAlignment="1">
      <alignment horizontal="center"/>
    </xf>
    <xf numFmtId="0" fontId="1" fillId="0" borderId="34" xfId="0" applyFont="1" applyFill="1" applyBorder="1" applyAlignment="1">
      <alignment horizontal="center"/>
    </xf>
    <xf numFmtId="0" fontId="1" fillId="0" borderId="35" xfId="0" applyFont="1" applyFill="1" applyBorder="1" applyAlignment="1">
      <alignment horizontal="center"/>
    </xf>
    <xf numFmtId="0" fontId="3" fillId="0" borderId="31" xfId="0" applyFont="1" applyFill="1" applyBorder="1"/>
    <xf numFmtId="14" fontId="3" fillId="0" borderId="21" xfId="0" applyNumberFormat="1" applyFont="1" applyFill="1" applyBorder="1" applyAlignment="1">
      <alignment horizontal="center"/>
    </xf>
    <xf numFmtId="0" fontId="3" fillId="0" borderId="21" xfId="0" applyFont="1" applyFill="1" applyBorder="1" applyAlignment="1">
      <alignment horizontal="center"/>
    </xf>
    <xf numFmtId="16" fontId="3" fillId="0" borderId="21" xfId="0" applyNumberFormat="1" applyFont="1" applyFill="1" applyBorder="1" applyAlignment="1">
      <alignment horizontal="center"/>
    </xf>
    <xf numFmtId="0" fontId="3" fillId="0" borderId="32" xfId="0" applyFont="1" applyFill="1" applyBorder="1" applyAlignment="1">
      <alignment horizontal="center"/>
    </xf>
    <xf numFmtId="0" fontId="3" fillId="0" borderId="0" xfId="0" applyFont="1" applyFill="1"/>
    <xf numFmtId="0" fontId="1" fillId="2" borderId="31" xfId="0" applyFont="1" applyFill="1" applyBorder="1"/>
    <xf numFmtId="14" fontId="1" fillId="2" borderId="21" xfId="0" applyNumberFormat="1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16" fontId="1" fillId="2" borderId="21" xfId="0" applyNumberFormat="1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1" fillId="2" borderId="0" xfId="0" applyFont="1" applyFill="1"/>
    <xf numFmtId="16" fontId="1" fillId="2" borderId="21" xfId="0" applyNumberFormat="1" applyFont="1" applyFill="1" applyBorder="1" applyAlignment="1">
      <alignment horizontal="left"/>
    </xf>
    <xf numFmtId="0" fontId="3" fillId="0" borderId="21" xfId="0" applyFont="1" applyFill="1" applyBorder="1" applyAlignment="1">
      <alignment horizontal="left"/>
    </xf>
    <xf numFmtId="0" fontId="1" fillId="0" borderId="21" xfId="0" applyFont="1" applyFill="1" applyBorder="1" applyAlignment="1">
      <alignment horizontal="left"/>
    </xf>
    <xf numFmtId="0" fontId="4" fillId="0" borderId="23" xfId="0" applyFont="1" applyFill="1" applyBorder="1" applyAlignment="1">
      <alignment horizontal="center"/>
    </xf>
    <xf numFmtId="0" fontId="4" fillId="0" borderId="24" xfId="0" applyFont="1" applyFill="1" applyBorder="1" applyAlignment="1">
      <alignment horizontal="center"/>
    </xf>
    <xf numFmtId="0" fontId="4" fillId="0" borderId="23" xfId="0" applyFont="1" applyFill="1" applyBorder="1"/>
    <xf numFmtId="0" fontId="4" fillId="0" borderId="25" xfId="0" applyFont="1" applyFill="1" applyBorder="1"/>
    <xf numFmtId="0" fontId="4" fillId="0" borderId="26" xfId="0" applyFont="1" applyFill="1" applyBorder="1"/>
    <xf numFmtId="0" fontId="4" fillId="0" borderId="0" xfId="0" applyFont="1" applyFill="1"/>
    <xf numFmtId="0" fontId="4" fillId="0" borderId="0" xfId="0" applyFont="1" applyFill="1" applyBorder="1" applyAlignment="1">
      <alignment horizontal="center"/>
    </xf>
    <xf numFmtId="0" fontId="4" fillId="0" borderId="20" xfId="0" applyFont="1" applyFill="1" applyBorder="1" applyAlignment="1">
      <alignment horizontal="center"/>
    </xf>
    <xf numFmtId="0" fontId="4" fillId="0" borderId="17" xfId="0" applyFont="1" applyFill="1" applyBorder="1" applyAlignment="1">
      <alignment horizontal="center"/>
    </xf>
    <xf numFmtId="0" fontId="4" fillId="0" borderId="27" xfId="0" applyFont="1" applyFill="1" applyBorder="1" applyAlignment="1">
      <alignment horizontal="center"/>
    </xf>
    <xf numFmtId="0" fontId="4" fillId="0" borderId="28" xfId="0" applyFont="1" applyFill="1" applyBorder="1"/>
    <xf numFmtId="0" fontId="4" fillId="0" borderId="17" xfId="0" applyFont="1" applyFill="1" applyBorder="1"/>
    <xf numFmtId="0" fontId="4" fillId="0" borderId="2" xfId="0" applyFont="1" applyFill="1" applyBorder="1"/>
    <xf numFmtId="0" fontId="4" fillId="0" borderId="18" xfId="0" applyFont="1" applyFill="1" applyBorder="1" applyAlignment="1">
      <alignment horizontal="center"/>
    </xf>
    <xf numFmtId="0" fontId="4" fillId="0" borderId="29" xfId="0" applyFont="1" applyFill="1" applyBorder="1" applyAlignment="1">
      <alignment horizontal="center"/>
    </xf>
    <xf numFmtId="0" fontId="4" fillId="0" borderId="30" xfId="0" applyFont="1" applyFill="1" applyBorder="1"/>
    <xf numFmtId="0" fontId="4" fillId="0" borderId="19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4" fillId="0" borderId="19" xfId="0" applyFont="1" applyFill="1" applyBorder="1"/>
    <xf numFmtId="0" fontId="5" fillId="0" borderId="31" xfId="0" applyFont="1" applyFill="1" applyBorder="1"/>
    <xf numFmtId="14" fontId="5" fillId="0" borderId="21" xfId="0" applyNumberFormat="1" applyFont="1" applyFill="1" applyBorder="1" applyAlignment="1">
      <alignment horizontal="center"/>
    </xf>
    <xf numFmtId="0" fontId="5" fillId="0" borderId="21" xfId="0" applyFont="1" applyFill="1" applyBorder="1" applyAlignment="1">
      <alignment horizontal="center"/>
    </xf>
    <xf numFmtId="16" fontId="5" fillId="0" borderId="21" xfId="0" applyNumberFormat="1" applyFont="1" applyFill="1" applyBorder="1" applyAlignment="1">
      <alignment horizontal="center"/>
    </xf>
    <xf numFmtId="0" fontId="5" fillId="0" borderId="32" xfId="0" applyFont="1" applyFill="1" applyBorder="1" applyAlignment="1">
      <alignment horizontal="center"/>
    </xf>
    <xf numFmtId="0" fontId="5" fillId="0" borderId="0" xfId="0" applyFont="1" applyFill="1"/>
    <xf numFmtId="0" fontId="5" fillId="0" borderId="21" xfId="0" applyFont="1" applyFill="1" applyBorder="1" applyAlignment="1">
      <alignment horizontal="left"/>
    </xf>
    <xf numFmtId="0" fontId="5" fillId="0" borderId="33" xfId="0" applyFont="1" applyFill="1" applyBorder="1"/>
    <xf numFmtId="14" fontId="5" fillId="0" borderId="34" xfId="0" applyNumberFormat="1" applyFont="1" applyFill="1" applyBorder="1" applyAlignment="1">
      <alignment horizontal="center"/>
    </xf>
    <xf numFmtId="0" fontId="5" fillId="0" borderId="34" xfId="0" applyFont="1" applyFill="1" applyBorder="1" applyAlignment="1">
      <alignment horizontal="center"/>
    </xf>
    <xf numFmtId="0" fontId="5" fillId="0" borderId="35" xfId="0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5" fillId="0" borderId="21" xfId="0" applyNumberFormat="1" applyFont="1" applyFill="1" applyBorder="1" applyAlignment="1">
      <alignment horizontal="center"/>
    </xf>
    <xf numFmtId="0" fontId="4" fillId="0" borderId="36" xfId="0" applyFont="1" applyFill="1" applyBorder="1"/>
    <xf numFmtId="0" fontId="5" fillId="0" borderId="34" xfId="0" applyNumberFormat="1" applyFont="1" applyFill="1" applyBorder="1" applyAlignment="1">
      <alignment horizontal="center"/>
    </xf>
    <xf numFmtId="0" fontId="4" fillId="0" borderId="37" xfId="0" applyFont="1" applyFill="1" applyBorder="1" applyAlignment="1">
      <alignment horizontal="center"/>
    </xf>
    <xf numFmtId="16" fontId="1" fillId="0" borderId="21" xfId="0" applyNumberFormat="1" applyFont="1" applyFill="1" applyBorder="1" applyAlignment="1">
      <alignment horizontal="left"/>
    </xf>
    <xf numFmtId="16" fontId="6" fillId="0" borderId="21" xfId="0" applyNumberFormat="1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16" fontId="3" fillId="2" borderId="21" xfId="0" applyNumberFormat="1" applyFont="1" applyFill="1" applyBorder="1" applyAlignment="1">
      <alignment horizontal="center"/>
    </xf>
    <xf numFmtId="0" fontId="3" fillId="2" borderId="21" xfId="0" applyFont="1" applyFill="1" applyBorder="1" applyAlignment="1">
      <alignment horizontal="left"/>
    </xf>
    <xf numFmtId="16" fontId="3" fillId="0" borderId="21" xfId="0" applyNumberFormat="1" applyFont="1" applyFill="1" applyBorder="1" applyAlignment="1">
      <alignment horizontal="left"/>
    </xf>
    <xf numFmtId="16" fontId="7" fillId="0" borderId="21" xfId="0" applyNumberFormat="1" applyFont="1" applyFill="1" applyBorder="1" applyAlignment="1">
      <alignment horizontal="center"/>
    </xf>
    <xf numFmtId="0" fontId="7" fillId="0" borderId="21" xfId="0" applyFont="1" applyFill="1" applyBorder="1" applyAlignment="1">
      <alignment horizontal="center"/>
    </xf>
    <xf numFmtId="0" fontId="5" fillId="2" borderId="21" xfId="0" applyFont="1" applyFill="1" applyBorder="1" applyAlignment="1">
      <alignment horizontal="center"/>
    </xf>
    <xf numFmtId="0" fontId="4" fillId="0" borderId="0" xfId="0" applyFont="1" applyFill="1" applyBorder="1"/>
    <xf numFmtId="0" fontId="4" fillId="0" borderId="38" xfId="0" applyFont="1" applyFill="1" applyBorder="1" applyAlignment="1">
      <alignment horizontal="center"/>
    </xf>
    <xf numFmtId="16" fontId="5" fillId="2" borderId="21" xfId="0" applyNumberFormat="1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21" xfId="0" applyFont="1" applyFill="1" applyBorder="1" applyAlignment="1">
      <alignment horizontal="center"/>
    </xf>
    <xf numFmtId="0" fontId="4" fillId="0" borderId="18" xfId="0" applyFont="1" applyFill="1" applyBorder="1"/>
    <xf numFmtId="0" fontId="4" fillId="0" borderId="39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4" fillId="0" borderId="40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/>
    </xf>
    <xf numFmtId="16" fontId="7" fillId="2" borderId="21" xfId="0" applyNumberFormat="1" applyFont="1" applyFill="1" applyBorder="1" applyAlignment="1">
      <alignment horizontal="center"/>
    </xf>
    <xf numFmtId="16" fontId="7" fillId="2" borderId="21" xfId="0" applyNumberFormat="1" applyFont="1" applyFill="1" applyBorder="1" applyAlignment="1">
      <alignment horizontal="left"/>
    </xf>
    <xf numFmtId="0" fontId="7" fillId="3" borderId="21" xfId="0" applyFont="1" applyFill="1" applyBorder="1" applyAlignment="1">
      <alignment horizontal="center"/>
    </xf>
    <xf numFmtId="16" fontId="7" fillId="3" borderId="21" xfId="0" applyNumberFormat="1" applyFont="1" applyFill="1" applyBorder="1" applyAlignment="1">
      <alignment horizontal="center"/>
    </xf>
    <xf numFmtId="0" fontId="7" fillId="4" borderId="21" xfId="0" applyFont="1" applyFill="1" applyBorder="1" applyAlignment="1">
      <alignment horizontal="center"/>
    </xf>
    <xf numFmtId="16" fontId="7" fillId="4" borderId="21" xfId="0" applyNumberFormat="1" applyFont="1" applyFill="1" applyBorder="1" applyAlignment="1">
      <alignment horizontal="center"/>
    </xf>
    <xf numFmtId="0" fontId="7" fillId="4" borderId="21" xfId="0" applyFont="1" applyFill="1" applyBorder="1" applyAlignment="1">
      <alignment horizontal="left"/>
    </xf>
    <xf numFmtId="0" fontId="7" fillId="5" borderId="21" xfId="0" applyFont="1" applyFill="1" applyBorder="1" applyAlignment="1">
      <alignment horizontal="center"/>
    </xf>
    <xf numFmtId="0" fontId="7" fillId="5" borderId="21" xfId="0" applyFont="1" applyFill="1" applyBorder="1" applyAlignment="1">
      <alignment horizontal="left"/>
    </xf>
    <xf numFmtId="0" fontId="3" fillId="5" borderId="21" xfId="0" applyFont="1" applyFill="1" applyBorder="1" applyAlignment="1">
      <alignment horizontal="center"/>
    </xf>
    <xf numFmtId="16" fontId="7" fillId="5" borderId="21" xfId="0" applyNumberFormat="1" applyFont="1" applyFill="1" applyBorder="1" applyAlignment="1">
      <alignment horizontal="center"/>
    </xf>
    <xf numFmtId="0" fontId="7" fillId="6" borderId="21" xfId="0" applyFont="1" applyFill="1" applyBorder="1" applyAlignment="1">
      <alignment horizontal="center"/>
    </xf>
    <xf numFmtId="16" fontId="7" fillId="6" borderId="21" xfId="0" applyNumberFormat="1" applyFont="1" applyFill="1" applyBorder="1" applyAlignment="1">
      <alignment horizontal="center"/>
    </xf>
    <xf numFmtId="0" fontId="7" fillId="7" borderId="21" xfId="0" applyFont="1" applyFill="1" applyBorder="1" applyAlignment="1">
      <alignment horizontal="center"/>
    </xf>
    <xf numFmtId="16" fontId="7" fillId="7" borderId="21" xfId="0" applyNumberFormat="1" applyFont="1" applyFill="1" applyBorder="1" applyAlignment="1">
      <alignment horizontal="center"/>
    </xf>
    <xf numFmtId="0" fontId="7" fillId="8" borderId="21" xfId="0" applyFont="1" applyFill="1" applyBorder="1" applyAlignment="1">
      <alignment horizontal="center"/>
    </xf>
    <xf numFmtId="16" fontId="7" fillId="8" borderId="21" xfId="0" applyNumberFormat="1" applyFont="1" applyFill="1" applyBorder="1" applyAlignment="1">
      <alignment horizontal="center"/>
    </xf>
    <xf numFmtId="0" fontId="7" fillId="9" borderId="21" xfId="0" applyFont="1" applyFill="1" applyBorder="1" applyAlignment="1">
      <alignment horizontal="center"/>
    </xf>
    <xf numFmtId="16" fontId="7" fillId="9" borderId="21" xfId="0" applyNumberFormat="1" applyFont="1" applyFill="1" applyBorder="1" applyAlignment="1">
      <alignment horizontal="center"/>
    </xf>
    <xf numFmtId="0" fontId="7" fillId="10" borderId="21" xfId="0" applyFont="1" applyFill="1" applyBorder="1" applyAlignment="1">
      <alignment horizontal="center"/>
    </xf>
    <xf numFmtId="16" fontId="7" fillId="10" borderId="21" xfId="0" applyNumberFormat="1" applyFont="1" applyFill="1" applyBorder="1" applyAlignment="1">
      <alignment horizontal="center"/>
    </xf>
    <xf numFmtId="0" fontId="5" fillId="11" borderId="21" xfId="0" applyFont="1" applyFill="1" applyBorder="1" applyAlignment="1">
      <alignment horizontal="center"/>
    </xf>
    <xf numFmtId="0" fontId="5" fillId="11" borderId="21" xfId="0" applyFont="1" applyFill="1" applyBorder="1" applyAlignment="1">
      <alignment horizontal="left"/>
    </xf>
    <xf numFmtId="0" fontId="3" fillId="11" borderId="21" xfId="0" applyFont="1" applyFill="1" applyBorder="1" applyAlignment="1">
      <alignment horizontal="center"/>
    </xf>
    <xf numFmtId="16" fontId="8" fillId="0" borderId="21" xfId="0" applyNumberFormat="1" applyFont="1" applyFill="1" applyBorder="1" applyAlignment="1">
      <alignment horizontal="center"/>
    </xf>
    <xf numFmtId="16" fontId="5" fillId="0" borderId="21" xfId="0" applyNumberFormat="1" applyFont="1" applyFill="1" applyBorder="1" applyAlignment="1">
      <alignment horizontal="left"/>
    </xf>
    <xf numFmtId="0" fontId="8" fillId="0" borderId="21" xfId="0" applyFont="1" applyFill="1" applyBorder="1" applyAlignment="1">
      <alignment horizontal="center"/>
    </xf>
    <xf numFmtId="16" fontId="5" fillId="0" borderId="34" xfId="0" applyNumberFormat="1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5" fillId="2" borderId="34" xfId="0" applyFont="1" applyFill="1" applyBorder="1" applyAlignment="1">
      <alignment horizontal="center"/>
    </xf>
    <xf numFmtId="16" fontId="5" fillId="2" borderId="34" xfId="0" applyNumberFormat="1" applyFont="1" applyFill="1" applyBorder="1" applyAlignment="1">
      <alignment horizontal="center"/>
    </xf>
    <xf numFmtId="0" fontId="4" fillId="0" borderId="41" xfId="0" applyFont="1" applyFill="1" applyBorder="1" applyAlignment="1">
      <alignment horizontal="center"/>
    </xf>
    <xf numFmtId="0" fontId="4" fillId="0" borderId="25" xfId="0" applyFont="1" applyFill="1" applyBorder="1" applyAlignment="1">
      <alignment horizontal="center"/>
    </xf>
    <xf numFmtId="0" fontId="4" fillId="0" borderId="43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23" xfId="0" applyFont="1" applyFill="1" applyBorder="1" applyAlignment="1">
      <alignment horizontal="center"/>
    </xf>
    <xf numFmtId="0" fontId="4" fillId="0" borderId="42" xfId="0" applyFont="1" applyFill="1" applyBorder="1" applyAlignment="1">
      <alignment horizontal="center"/>
    </xf>
    <xf numFmtId="0" fontId="4" fillId="0" borderId="39" xfId="0" applyFont="1" applyFill="1" applyBorder="1" applyAlignment="1">
      <alignment horizontal="center"/>
    </xf>
    <xf numFmtId="0" fontId="4" fillId="0" borderId="40" xfId="0" applyFont="1" applyFill="1" applyBorder="1" applyAlignment="1">
      <alignment horizontal="center"/>
    </xf>
    <xf numFmtId="0" fontId="5" fillId="0" borderId="44" xfId="0" applyFont="1" applyFill="1" applyBorder="1"/>
    <xf numFmtId="14" fontId="5" fillId="0" borderId="17" xfId="0" applyNumberFormat="1" applyFont="1" applyFill="1" applyBorder="1" applyAlignment="1">
      <alignment horizontal="center"/>
    </xf>
    <xf numFmtId="0" fontId="5" fillId="0" borderId="17" xfId="0" applyNumberFormat="1" applyFont="1" applyFill="1" applyBorder="1" applyAlignment="1">
      <alignment horizontal="center"/>
    </xf>
    <xf numFmtId="0" fontId="5" fillId="0" borderId="17" xfId="0" applyFont="1" applyFill="1" applyBorder="1" applyAlignment="1">
      <alignment horizontal="center"/>
    </xf>
    <xf numFmtId="16" fontId="5" fillId="0" borderId="17" xfId="0" applyNumberFormat="1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16" fontId="5" fillId="2" borderId="17" xfId="0" applyNumberFormat="1" applyFont="1" applyFill="1" applyBorder="1" applyAlignment="1">
      <alignment horizontal="center"/>
    </xf>
    <xf numFmtId="0" fontId="5" fillId="2" borderId="44" xfId="0" applyFont="1" applyFill="1" applyBorder="1"/>
    <xf numFmtId="0" fontId="5" fillId="2" borderId="3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4"/>
  <sheetViews>
    <sheetView zoomScaleNormal="100" workbookViewId="0">
      <selection activeCell="A2" sqref="A2"/>
    </sheetView>
  </sheetViews>
  <sheetFormatPr baseColWidth="10" defaultRowHeight="12" x14ac:dyDescent="0.2"/>
  <cols>
    <col min="1" max="1" width="35.140625" style="1" bestFit="1" customWidth="1"/>
    <col min="2" max="2" width="11.42578125" style="2"/>
    <col min="3" max="4" width="11.42578125" style="1" customWidth="1"/>
    <col min="5" max="6" width="11.42578125" style="1"/>
    <col min="7" max="7" width="5.7109375" style="1" customWidth="1"/>
    <col min="8" max="8" width="18" style="1" bestFit="1" customWidth="1"/>
    <col min="9" max="9" width="5.7109375" style="1" customWidth="1"/>
    <col min="10" max="10" width="13.85546875" style="1" bestFit="1" customWidth="1"/>
    <col min="11" max="11" width="5.7109375" style="1" customWidth="1"/>
    <col min="12" max="12" width="15.85546875" style="1" bestFit="1" customWidth="1"/>
    <col min="13" max="13" width="5.7109375" style="1" customWidth="1"/>
    <col min="14" max="14" width="15.140625" style="1" bestFit="1" customWidth="1"/>
    <col min="15" max="15" width="5.7109375" style="1" customWidth="1"/>
    <col min="16" max="16" width="14.85546875" style="1" bestFit="1" customWidth="1"/>
    <col min="17" max="17" width="5.7109375" style="1" customWidth="1"/>
    <col min="18" max="18" width="11.42578125" style="1"/>
    <col min="19" max="19" width="5.7109375" style="1" customWidth="1"/>
    <col min="20" max="20" width="15" style="1" bestFit="1" customWidth="1"/>
    <col min="21" max="21" width="5.7109375" style="1" customWidth="1"/>
    <col min="22" max="22" width="11.42578125" style="1"/>
    <col min="23" max="23" width="5.7109375" style="1" customWidth="1"/>
    <col min="24" max="24" width="11.42578125" style="1"/>
    <col min="25" max="25" width="5.7109375" style="1" customWidth="1"/>
    <col min="26" max="27" width="11.42578125" style="1"/>
    <col min="28" max="28" width="13.85546875" style="1" bestFit="1" customWidth="1"/>
    <col min="29" max="16384" width="11.42578125" style="1"/>
  </cols>
  <sheetData>
    <row r="1" spans="1:29" x14ac:dyDescent="0.2">
      <c r="AA1" s="3"/>
      <c r="AB1" s="4"/>
    </row>
    <row r="2" spans="1:29" x14ac:dyDescent="0.2">
      <c r="A2" s="104" t="s">
        <v>120</v>
      </c>
      <c r="B2" s="5"/>
      <c r="C2" s="158" t="s">
        <v>77</v>
      </c>
      <c r="D2" s="159"/>
      <c r="E2" s="159"/>
      <c r="F2" s="160"/>
      <c r="G2" s="158" t="s">
        <v>78</v>
      </c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6" t="s">
        <v>79</v>
      </c>
      <c r="AB2" s="7" t="s">
        <v>75</v>
      </c>
    </row>
    <row r="3" spans="1:29" x14ac:dyDescent="0.2">
      <c r="A3" s="8"/>
      <c r="B3" s="9" t="s">
        <v>81</v>
      </c>
      <c r="C3" s="10"/>
      <c r="D3" s="3"/>
      <c r="E3" s="10"/>
      <c r="F3" s="3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6" t="s">
        <v>80</v>
      </c>
      <c r="AB3" s="7" t="s">
        <v>76</v>
      </c>
    </row>
    <row r="4" spans="1:29" x14ac:dyDescent="0.2">
      <c r="A4" s="11"/>
      <c r="B4" s="12" t="s">
        <v>82</v>
      </c>
      <c r="C4" s="13"/>
      <c r="D4" s="31"/>
      <c r="E4" s="12">
        <v>2022</v>
      </c>
      <c r="F4" s="12">
        <v>2023</v>
      </c>
      <c r="G4" s="15" t="s">
        <v>83</v>
      </c>
      <c r="H4" s="15" t="s">
        <v>84</v>
      </c>
      <c r="I4" s="15" t="s">
        <v>83</v>
      </c>
      <c r="J4" s="15" t="s">
        <v>84</v>
      </c>
      <c r="K4" s="15" t="s">
        <v>83</v>
      </c>
      <c r="L4" s="15" t="s">
        <v>84</v>
      </c>
      <c r="M4" s="15" t="s">
        <v>83</v>
      </c>
      <c r="N4" s="15" t="s">
        <v>84</v>
      </c>
      <c r="O4" s="15" t="s">
        <v>83</v>
      </c>
      <c r="P4" s="15" t="s">
        <v>84</v>
      </c>
      <c r="Q4" s="15" t="s">
        <v>83</v>
      </c>
      <c r="R4" s="15" t="s">
        <v>84</v>
      </c>
      <c r="S4" s="15" t="s">
        <v>83</v>
      </c>
      <c r="T4" s="15" t="s">
        <v>84</v>
      </c>
      <c r="U4" s="15" t="s">
        <v>83</v>
      </c>
      <c r="V4" s="15" t="s">
        <v>84</v>
      </c>
      <c r="W4" s="15"/>
      <c r="X4" s="15"/>
      <c r="Y4" s="15" t="s">
        <v>83</v>
      </c>
      <c r="Z4" s="15" t="s">
        <v>84</v>
      </c>
      <c r="AA4" s="14"/>
      <c r="AB4" s="16"/>
    </row>
    <row r="5" spans="1:29" x14ac:dyDescent="0.2">
      <c r="A5" s="17" t="s">
        <v>0</v>
      </c>
      <c r="B5" s="18">
        <v>38598</v>
      </c>
      <c r="C5" s="19"/>
      <c r="D5" s="19"/>
      <c r="E5" s="19"/>
      <c r="F5" s="19">
        <v>26</v>
      </c>
      <c r="G5" s="19">
        <v>1</v>
      </c>
      <c r="H5" s="20">
        <v>45003</v>
      </c>
      <c r="I5" s="19">
        <v>1</v>
      </c>
      <c r="J5" s="20">
        <v>45157</v>
      </c>
      <c r="K5" s="19">
        <v>18</v>
      </c>
      <c r="L5" s="19" t="s">
        <v>40</v>
      </c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>
        <f>G5+I5+K5+M5+O5+Q5+S5+Y5</f>
        <v>20</v>
      </c>
      <c r="AB5" s="28">
        <f t="shared" ref="AB5:AB44" si="0">C5+D5+E5+F5-AA5</f>
        <v>6</v>
      </c>
      <c r="AC5" s="1" t="s">
        <v>85</v>
      </c>
    </row>
    <row r="6" spans="1:29" x14ac:dyDescent="0.2">
      <c r="A6" s="21" t="s">
        <v>1</v>
      </c>
      <c r="B6" s="22">
        <v>41276</v>
      </c>
      <c r="C6" s="23"/>
      <c r="D6" s="23"/>
      <c r="E6" s="23">
        <v>12</v>
      </c>
      <c r="F6" s="23">
        <v>22</v>
      </c>
      <c r="G6" s="23">
        <v>0.5</v>
      </c>
      <c r="H6" s="23" t="s">
        <v>86</v>
      </c>
      <c r="I6" s="23">
        <v>2.5</v>
      </c>
      <c r="J6" s="23" t="s">
        <v>87</v>
      </c>
      <c r="K6" s="23">
        <v>1.5</v>
      </c>
      <c r="L6" s="23" t="s">
        <v>88</v>
      </c>
      <c r="M6" s="23">
        <v>7</v>
      </c>
      <c r="N6" s="23" t="s">
        <v>89</v>
      </c>
      <c r="O6" s="23">
        <v>0.5</v>
      </c>
      <c r="P6" s="24">
        <v>45079</v>
      </c>
      <c r="Q6" s="23">
        <v>0.5</v>
      </c>
      <c r="R6" s="23" t="s">
        <v>42</v>
      </c>
      <c r="S6" s="23">
        <v>3</v>
      </c>
      <c r="T6" s="23" t="s">
        <v>43</v>
      </c>
      <c r="U6" s="23">
        <v>1</v>
      </c>
      <c r="V6" s="23" t="s">
        <v>44</v>
      </c>
      <c r="W6" s="23">
        <v>0.5</v>
      </c>
      <c r="X6" s="24">
        <v>45199</v>
      </c>
      <c r="Y6" s="23">
        <v>0.5</v>
      </c>
      <c r="Z6" s="24">
        <v>45217</v>
      </c>
      <c r="AA6" s="23">
        <f>G6+I6+K6+M6+O6+Q6+S6+U6+W6+Y6</f>
        <v>17.5</v>
      </c>
      <c r="AB6" s="29">
        <f t="shared" si="0"/>
        <v>16.5</v>
      </c>
    </row>
    <row r="7" spans="1:29" x14ac:dyDescent="0.2">
      <c r="A7" s="21" t="s">
        <v>2</v>
      </c>
      <c r="B7" s="22">
        <v>42247</v>
      </c>
      <c r="C7" s="23"/>
      <c r="D7" s="23"/>
      <c r="E7" s="23">
        <v>14</v>
      </c>
      <c r="F7" s="23">
        <v>22</v>
      </c>
      <c r="G7" s="23">
        <v>3</v>
      </c>
      <c r="H7" s="24" t="s">
        <v>90</v>
      </c>
      <c r="I7" s="23">
        <v>1</v>
      </c>
      <c r="J7" s="24">
        <v>45003</v>
      </c>
      <c r="K7" s="23">
        <v>1</v>
      </c>
      <c r="L7" s="24">
        <v>45105</v>
      </c>
      <c r="M7" s="23">
        <v>1</v>
      </c>
      <c r="N7" s="24">
        <v>45115</v>
      </c>
      <c r="O7" s="23">
        <v>8</v>
      </c>
      <c r="P7" s="23" t="s">
        <v>91</v>
      </c>
      <c r="Q7" s="23">
        <v>1</v>
      </c>
      <c r="R7" s="24">
        <v>45180</v>
      </c>
      <c r="S7" s="23"/>
      <c r="T7" s="23"/>
      <c r="U7" s="23"/>
      <c r="V7" s="23"/>
      <c r="W7" s="23"/>
      <c r="X7" s="23"/>
      <c r="Y7" s="23"/>
      <c r="Z7" s="23"/>
      <c r="AA7" s="23">
        <f>G7+I7+K7+M7+O7+Q7+S7+U7+W7+Y7</f>
        <v>15</v>
      </c>
      <c r="AB7" s="29">
        <f t="shared" si="0"/>
        <v>21</v>
      </c>
    </row>
    <row r="8" spans="1:29" x14ac:dyDescent="0.2">
      <c r="A8" s="21" t="s">
        <v>3</v>
      </c>
      <c r="B8" s="22">
        <v>41730</v>
      </c>
      <c r="C8" s="23"/>
      <c r="D8" s="23"/>
      <c r="E8" s="23"/>
      <c r="F8" s="23">
        <v>22</v>
      </c>
      <c r="G8" s="23">
        <v>2</v>
      </c>
      <c r="H8" s="23" t="s">
        <v>41</v>
      </c>
      <c r="I8" s="23">
        <v>6</v>
      </c>
      <c r="J8" s="23" t="s">
        <v>47</v>
      </c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>
        <f t="shared" ref="AA8:AA44" si="1">G8+I8+K8+M8+O8+Q8+S8+Y8</f>
        <v>8</v>
      </c>
      <c r="AB8" s="29">
        <f t="shared" si="0"/>
        <v>14</v>
      </c>
    </row>
    <row r="9" spans="1:29" x14ac:dyDescent="0.2">
      <c r="A9" s="21" t="s">
        <v>4</v>
      </c>
      <c r="B9" s="22">
        <v>42006</v>
      </c>
      <c r="C9" s="23"/>
      <c r="D9" s="23"/>
      <c r="E9" s="23">
        <v>9</v>
      </c>
      <c r="F9" s="23">
        <v>22</v>
      </c>
      <c r="G9" s="23">
        <v>0.5</v>
      </c>
      <c r="H9" s="24">
        <v>44973</v>
      </c>
      <c r="I9" s="23">
        <v>0.5</v>
      </c>
      <c r="J9" s="24">
        <v>45016</v>
      </c>
      <c r="K9" s="23">
        <v>1</v>
      </c>
      <c r="L9" s="24">
        <v>45017</v>
      </c>
      <c r="M9" s="23">
        <v>1</v>
      </c>
      <c r="N9" s="24">
        <v>45094</v>
      </c>
      <c r="O9" s="23">
        <v>7</v>
      </c>
      <c r="P9" s="24">
        <v>45136</v>
      </c>
      <c r="Q9" s="23"/>
      <c r="R9" s="23"/>
      <c r="S9" s="23"/>
      <c r="T9" s="23"/>
      <c r="U9" s="23"/>
      <c r="V9" s="23"/>
      <c r="W9" s="23"/>
      <c r="X9" s="23"/>
      <c r="Y9" s="23"/>
      <c r="Z9" s="23"/>
      <c r="AA9" s="23">
        <f t="shared" si="1"/>
        <v>10</v>
      </c>
      <c r="AB9" s="29">
        <f t="shared" si="0"/>
        <v>21</v>
      </c>
    </row>
    <row r="10" spans="1:29" x14ac:dyDescent="0.2">
      <c r="A10" s="21" t="s">
        <v>5</v>
      </c>
      <c r="B10" s="22">
        <v>42633</v>
      </c>
      <c r="C10" s="23"/>
      <c r="D10" s="23"/>
      <c r="E10" s="23"/>
      <c r="F10" s="23">
        <v>22</v>
      </c>
      <c r="G10" s="23">
        <v>18</v>
      </c>
      <c r="H10" s="23" t="s">
        <v>45</v>
      </c>
      <c r="I10" s="23">
        <v>1.5</v>
      </c>
      <c r="J10" s="23" t="s">
        <v>46</v>
      </c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>
        <f t="shared" si="1"/>
        <v>19.5</v>
      </c>
      <c r="AB10" s="29">
        <f t="shared" si="0"/>
        <v>2.5</v>
      </c>
    </row>
    <row r="11" spans="1:29" x14ac:dyDescent="0.2">
      <c r="A11" s="21" t="s">
        <v>6</v>
      </c>
      <c r="B11" s="22">
        <v>44771</v>
      </c>
      <c r="C11" s="23"/>
      <c r="D11" s="23"/>
      <c r="E11" s="23"/>
      <c r="F11" s="23">
        <v>12</v>
      </c>
      <c r="G11" s="23">
        <v>0.5</v>
      </c>
      <c r="H11" s="24">
        <v>45035</v>
      </c>
      <c r="I11" s="23">
        <v>1</v>
      </c>
      <c r="J11" s="24">
        <v>45057</v>
      </c>
      <c r="K11" s="23">
        <v>7</v>
      </c>
      <c r="L11" s="23" t="s">
        <v>48</v>
      </c>
      <c r="M11" s="23">
        <v>1</v>
      </c>
      <c r="N11" s="24">
        <v>45229</v>
      </c>
      <c r="O11" s="23">
        <v>2.5</v>
      </c>
      <c r="P11" s="23" t="s">
        <v>49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>
        <f t="shared" si="1"/>
        <v>12</v>
      </c>
      <c r="AB11" s="29">
        <f t="shared" si="0"/>
        <v>0</v>
      </c>
    </row>
    <row r="12" spans="1:29" x14ac:dyDescent="0.2">
      <c r="A12" s="21" t="s">
        <v>7</v>
      </c>
      <c r="B12" s="22">
        <v>42646</v>
      </c>
      <c r="C12" s="23"/>
      <c r="D12" s="23"/>
      <c r="E12" s="23">
        <v>13</v>
      </c>
      <c r="F12" s="23">
        <v>22</v>
      </c>
      <c r="G12" s="23">
        <v>6</v>
      </c>
      <c r="H12" s="24" t="s">
        <v>61</v>
      </c>
      <c r="I12" s="23">
        <v>6</v>
      </c>
      <c r="J12" s="23" t="s">
        <v>92</v>
      </c>
      <c r="K12" s="23">
        <v>1</v>
      </c>
      <c r="L12" s="24">
        <v>45132</v>
      </c>
      <c r="M12" s="23">
        <v>1</v>
      </c>
      <c r="N12" s="24">
        <v>45216</v>
      </c>
      <c r="O12" s="23">
        <v>1</v>
      </c>
      <c r="P12" s="23" t="s">
        <v>107</v>
      </c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>
        <f t="shared" si="1"/>
        <v>15</v>
      </c>
      <c r="AB12" s="29">
        <f t="shared" si="0"/>
        <v>20</v>
      </c>
    </row>
    <row r="13" spans="1:29" x14ac:dyDescent="0.2">
      <c r="A13" s="21" t="s">
        <v>8</v>
      </c>
      <c r="B13" s="22">
        <v>43381</v>
      </c>
      <c r="C13" s="23"/>
      <c r="D13" s="23"/>
      <c r="E13" s="23">
        <v>12</v>
      </c>
      <c r="F13" s="23">
        <v>20</v>
      </c>
      <c r="G13" s="23">
        <v>3</v>
      </c>
      <c r="H13" s="23" t="s">
        <v>93</v>
      </c>
      <c r="I13" s="23">
        <v>1</v>
      </c>
      <c r="J13" s="24">
        <v>45029</v>
      </c>
      <c r="K13" s="23">
        <v>1</v>
      </c>
      <c r="L13" s="24">
        <v>45163</v>
      </c>
      <c r="M13" s="23">
        <v>0.5</v>
      </c>
      <c r="N13" s="24">
        <v>45187</v>
      </c>
      <c r="O13" s="23">
        <v>2.5</v>
      </c>
      <c r="P13" s="23" t="s">
        <v>94</v>
      </c>
      <c r="Q13" s="23">
        <v>3</v>
      </c>
      <c r="R13" s="23" t="s">
        <v>95</v>
      </c>
      <c r="S13" s="23">
        <v>1</v>
      </c>
      <c r="T13" s="24" t="s">
        <v>103</v>
      </c>
      <c r="U13" s="23"/>
      <c r="V13" s="23" t="s">
        <v>108</v>
      </c>
      <c r="W13" s="23"/>
      <c r="X13" s="23"/>
      <c r="Y13" s="23"/>
      <c r="Z13" s="23"/>
      <c r="AA13" s="23">
        <f t="shared" si="1"/>
        <v>12</v>
      </c>
      <c r="AB13" s="29">
        <f t="shared" si="0"/>
        <v>20</v>
      </c>
    </row>
    <row r="14" spans="1:29" x14ac:dyDescent="0.2">
      <c r="A14" s="21" t="s">
        <v>9</v>
      </c>
      <c r="B14" s="22">
        <v>43850</v>
      </c>
      <c r="C14" s="23"/>
      <c r="D14" s="23"/>
      <c r="E14" s="23"/>
      <c r="F14" s="23">
        <v>16</v>
      </c>
      <c r="G14" s="23">
        <v>5</v>
      </c>
      <c r="H14" s="23" t="s">
        <v>50</v>
      </c>
      <c r="I14" s="23">
        <v>1</v>
      </c>
      <c r="J14" s="24">
        <v>45073</v>
      </c>
      <c r="K14" s="23">
        <v>0.5</v>
      </c>
      <c r="L14" s="24">
        <v>45087</v>
      </c>
      <c r="M14" s="23">
        <v>0.5</v>
      </c>
      <c r="N14" s="24">
        <v>45108</v>
      </c>
      <c r="O14" s="23">
        <v>7</v>
      </c>
      <c r="P14" s="24" t="s">
        <v>51</v>
      </c>
      <c r="Q14" s="23">
        <v>1</v>
      </c>
      <c r="R14" s="24">
        <v>45227</v>
      </c>
      <c r="S14" s="23"/>
      <c r="T14" s="24"/>
      <c r="U14" s="24"/>
      <c r="V14" s="24"/>
      <c r="W14" s="24"/>
      <c r="X14" s="24"/>
      <c r="Y14" s="23"/>
      <c r="Z14" s="23"/>
      <c r="AA14" s="23">
        <f t="shared" si="1"/>
        <v>15</v>
      </c>
      <c r="AB14" s="29">
        <f t="shared" si="0"/>
        <v>1</v>
      </c>
    </row>
    <row r="15" spans="1:29" x14ac:dyDescent="0.2">
      <c r="A15" s="21" t="s">
        <v>10</v>
      </c>
      <c r="B15" s="22">
        <v>44690</v>
      </c>
      <c r="C15" s="23"/>
      <c r="D15" s="23"/>
      <c r="E15" s="23"/>
      <c r="F15" s="23">
        <v>12</v>
      </c>
      <c r="G15" s="23">
        <v>0.5</v>
      </c>
      <c r="H15" s="24">
        <v>45009</v>
      </c>
      <c r="I15" s="23">
        <v>0.5</v>
      </c>
      <c r="J15" s="24">
        <v>45121</v>
      </c>
      <c r="K15" s="23">
        <v>6</v>
      </c>
      <c r="L15" s="23" t="s">
        <v>52</v>
      </c>
      <c r="M15" s="23">
        <v>1</v>
      </c>
      <c r="N15" s="24">
        <v>45157</v>
      </c>
      <c r="O15" s="23">
        <v>0.5</v>
      </c>
      <c r="P15" s="24">
        <v>45211</v>
      </c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>
        <f t="shared" si="1"/>
        <v>8.5</v>
      </c>
      <c r="AB15" s="29">
        <f t="shared" si="0"/>
        <v>3.5</v>
      </c>
    </row>
    <row r="16" spans="1:29" x14ac:dyDescent="0.2">
      <c r="A16" s="21" t="s">
        <v>11</v>
      </c>
      <c r="B16" s="22">
        <v>44669</v>
      </c>
      <c r="C16" s="23"/>
      <c r="D16" s="23"/>
      <c r="E16" s="23"/>
      <c r="F16" s="23">
        <v>12</v>
      </c>
      <c r="G16" s="23">
        <v>1</v>
      </c>
      <c r="H16" s="24">
        <v>45003</v>
      </c>
      <c r="I16" s="23">
        <v>1</v>
      </c>
      <c r="J16" s="24">
        <v>45031</v>
      </c>
      <c r="K16" s="23">
        <v>1</v>
      </c>
      <c r="L16" s="24">
        <v>45051</v>
      </c>
      <c r="M16" s="23">
        <v>1</v>
      </c>
      <c r="N16" s="24">
        <v>45127</v>
      </c>
      <c r="O16" s="23">
        <v>4</v>
      </c>
      <c r="P16" s="23" t="s">
        <v>53</v>
      </c>
      <c r="Q16" s="23">
        <v>1</v>
      </c>
      <c r="R16" s="24">
        <v>45226</v>
      </c>
      <c r="S16" s="23"/>
      <c r="T16" s="23"/>
      <c r="U16" s="23"/>
      <c r="V16" s="23"/>
      <c r="W16" s="23"/>
      <c r="X16" s="23"/>
      <c r="Y16" s="23"/>
      <c r="Z16" s="23"/>
      <c r="AA16" s="23">
        <f t="shared" si="1"/>
        <v>9</v>
      </c>
      <c r="AB16" s="29">
        <f t="shared" si="0"/>
        <v>3</v>
      </c>
    </row>
    <row r="17" spans="1:28" x14ac:dyDescent="0.2">
      <c r="A17" s="21" t="s">
        <v>12</v>
      </c>
      <c r="B17" s="22">
        <v>44893</v>
      </c>
      <c r="C17" s="23"/>
      <c r="D17" s="23"/>
      <c r="E17" s="23"/>
      <c r="F17" s="23">
        <v>12</v>
      </c>
      <c r="G17" s="23">
        <v>2</v>
      </c>
      <c r="H17" s="23" t="s">
        <v>54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>
        <f t="shared" si="1"/>
        <v>2</v>
      </c>
      <c r="AB17" s="29">
        <f t="shared" si="0"/>
        <v>10</v>
      </c>
    </row>
    <row r="18" spans="1:28" x14ac:dyDescent="0.2">
      <c r="A18" s="21" t="s">
        <v>13</v>
      </c>
      <c r="B18" s="22">
        <v>45160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>
        <f t="shared" si="1"/>
        <v>0</v>
      </c>
      <c r="AB18" s="29">
        <f t="shared" si="0"/>
        <v>0</v>
      </c>
    </row>
    <row r="19" spans="1:28" x14ac:dyDescent="0.2">
      <c r="A19" s="21" t="s">
        <v>14</v>
      </c>
      <c r="B19" s="22">
        <v>44700</v>
      </c>
      <c r="C19" s="23"/>
      <c r="D19" s="23"/>
      <c r="E19" s="23"/>
      <c r="F19" s="23">
        <v>12</v>
      </c>
      <c r="G19" s="23">
        <v>1</v>
      </c>
      <c r="H19" s="24">
        <v>45057</v>
      </c>
      <c r="I19" s="23">
        <v>6</v>
      </c>
      <c r="J19" s="23" t="s">
        <v>73</v>
      </c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>
        <f t="shared" si="1"/>
        <v>7</v>
      </c>
      <c r="AB19" s="29">
        <f t="shared" si="0"/>
        <v>5</v>
      </c>
    </row>
    <row r="20" spans="1:28" x14ac:dyDescent="0.2">
      <c r="A20" s="21" t="s">
        <v>15</v>
      </c>
      <c r="B20" s="22">
        <v>44805</v>
      </c>
      <c r="C20" s="23"/>
      <c r="D20" s="23"/>
      <c r="E20" s="23"/>
      <c r="F20" s="23">
        <v>12</v>
      </c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>
        <f t="shared" si="1"/>
        <v>0</v>
      </c>
      <c r="AB20" s="29">
        <f t="shared" si="0"/>
        <v>12</v>
      </c>
    </row>
    <row r="21" spans="1:28" x14ac:dyDescent="0.2">
      <c r="A21" s="21" t="s">
        <v>16</v>
      </c>
      <c r="B21" s="22">
        <v>41730</v>
      </c>
      <c r="C21" s="23"/>
      <c r="D21" s="23"/>
      <c r="E21" s="23">
        <v>14</v>
      </c>
      <c r="F21" s="23">
        <v>22</v>
      </c>
      <c r="G21" s="23">
        <v>8</v>
      </c>
      <c r="H21" s="24" t="s">
        <v>96</v>
      </c>
      <c r="I21" s="23">
        <v>6</v>
      </c>
      <c r="J21" s="23" t="s">
        <v>97</v>
      </c>
      <c r="K21" s="23">
        <v>1</v>
      </c>
      <c r="L21" s="24">
        <v>45092</v>
      </c>
      <c r="M21" s="23">
        <v>9</v>
      </c>
      <c r="N21" s="23" t="s">
        <v>55</v>
      </c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>
        <f t="shared" si="1"/>
        <v>24</v>
      </c>
      <c r="AB21" s="29">
        <f t="shared" si="0"/>
        <v>12</v>
      </c>
    </row>
    <row r="22" spans="1:28" x14ac:dyDescent="0.2">
      <c r="A22" s="21" t="s">
        <v>17</v>
      </c>
      <c r="B22" s="22">
        <v>43913</v>
      </c>
      <c r="C22" s="23"/>
      <c r="D22" s="23"/>
      <c r="E22" s="23"/>
      <c r="F22" s="23">
        <v>16</v>
      </c>
      <c r="G22" s="23">
        <v>16</v>
      </c>
      <c r="H22" s="23" t="s">
        <v>59</v>
      </c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>
        <f t="shared" si="1"/>
        <v>16</v>
      </c>
      <c r="AB22" s="29">
        <f t="shared" si="0"/>
        <v>0</v>
      </c>
    </row>
    <row r="23" spans="1:28" x14ac:dyDescent="0.2">
      <c r="A23" s="21" t="s">
        <v>18</v>
      </c>
      <c r="B23" s="22">
        <v>44578</v>
      </c>
      <c r="C23" s="23"/>
      <c r="D23" s="23"/>
      <c r="E23" s="23"/>
      <c r="F23" s="23">
        <v>12</v>
      </c>
      <c r="G23" s="23">
        <v>12</v>
      </c>
      <c r="H23" s="23" t="s">
        <v>60</v>
      </c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>
        <f t="shared" si="1"/>
        <v>12</v>
      </c>
      <c r="AB23" s="29">
        <f t="shared" si="0"/>
        <v>0</v>
      </c>
    </row>
    <row r="24" spans="1:28" x14ac:dyDescent="0.2">
      <c r="A24" s="21" t="s">
        <v>19</v>
      </c>
      <c r="B24" s="22">
        <v>44277</v>
      </c>
      <c r="C24" s="23"/>
      <c r="D24" s="23"/>
      <c r="E24" s="23"/>
      <c r="F24" s="23">
        <v>14</v>
      </c>
      <c r="G24" s="23">
        <v>3</v>
      </c>
      <c r="H24" s="23" t="s">
        <v>56</v>
      </c>
      <c r="I24" s="23">
        <v>7</v>
      </c>
      <c r="J24" s="23" t="s">
        <v>57</v>
      </c>
      <c r="K24" s="23">
        <v>4</v>
      </c>
      <c r="L24" s="23" t="s">
        <v>58</v>
      </c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f t="shared" si="1"/>
        <v>14</v>
      </c>
      <c r="AB24" s="29">
        <f t="shared" si="0"/>
        <v>0</v>
      </c>
    </row>
    <row r="25" spans="1:28" x14ac:dyDescent="0.2">
      <c r="A25" s="21" t="s">
        <v>20</v>
      </c>
      <c r="B25" s="22">
        <v>44279</v>
      </c>
      <c r="C25" s="23"/>
      <c r="D25" s="23"/>
      <c r="E25" s="23"/>
      <c r="F25" s="23">
        <v>14</v>
      </c>
      <c r="G25" s="23">
        <v>6</v>
      </c>
      <c r="H25" s="23" t="s">
        <v>61</v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f t="shared" si="1"/>
        <v>6</v>
      </c>
      <c r="AB25" s="29">
        <f t="shared" si="0"/>
        <v>8</v>
      </c>
    </row>
    <row r="26" spans="1:28" x14ac:dyDescent="0.2">
      <c r="A26" s="21" t="s">
        <v>21</v>
      </c>
      <c r="B26" s="22">
        <v>44293</v>
      </c>
      <c r="C26" s="23"/>
      <c r="D26" s="23"/>
      <c r="E26" s="23"/>
      <c r="F26" s="23">
        <v>14</v>
      </c>
      <c r="G26" s="23">
        <v>1</v>
      </c>
      <c r="H26" s="24">
        <v>45038</v>
      </c>
      <c r="I26" s="23">
        <v>6</v>
      </c>
      <c r="J26" s="23" t="s">
        <v>62</v>
      </c>
      <c r="K26" s="23">
        <v>1</v>
      </c>
      <c r="L26" s="24">
        <v>45121</v>
      </c>
      <c r="M26" s="23">
        <v>1</v>
      </c>
      <c r="N26" s="24">
        <v>45201</v>
      </c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>
        <f t="shared" si="1"/>
        <v>9</v>
      </c>
      <c r="AB26" s="29">
        <f t="shared" si="0"/>
        <v>5</v>
      </c>
    </row>
    <row r="27" spans="1:28" x14ac:dyDescent="0.2">
      <c r="A27" s="21" t="s">
        <v>22</v>
      </c>
      <c r="B27" s="22">
        <v>44908</v>
      </c>
      <c r="C27" s="23"/>
      <c r="D27" s="23"/>
      <c r="E27" s="23"/>
      <c r="F27" s="23">
        <v>12</v>
      </c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f t="shared" si="1"/>
        <v>0</v>
      </c>
      <c r="AB27" s="29">
        <f t="shared" si="0"/>
        <v>12</v>
      </c>
    </row>
    <row r="28" spans="1:28" x14ac:dyDescent="0.2">
      <c r="A28" s="21" t="s">
        <v>23</v>
      </c>
      <c r="B28" s="22">
        <v>44805</v>
      </c>
      <c r="C28" s="23"/>
      <c r="D28" s="23"/>
      <c r="E28" s="23"/>
      <c r="F28" s="23">
        <v>12</v>
      </c>
      <c r="G28" s="23">
        <v>12</v>
      </c>
      <c r="H28" s="23" t="s">
        <v>63</v>
      </c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>
        <f t="shared" si="1"/>
        <v>12</v>
      </c>
      <c r="AB28" s="29">
        <f t="shared" si="0"/>
        <v>0</v>
      </c>
    </row>
    <row r="29" spans="1:28" x14ac:dyDescent="0.2">
      <c r="A29" s="21" t="s">
        <v>24</v>
      </c>
      <c r="B29" s="22">
        <v>44805</v>
      </c>
      <c r="C29" s="23"/>
      <c r="D29" s="23"/>
      <c r="E29" s="23"/>
      <c r="F29" s="23">
        <v>12</v>
      </c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>
        <f t="shared" si="1"/>
        <v>0</v>
      </c>
      <c r="AB29" s="29">
        <f t="shared" si="0"/>
        <v>12</v>
      </c>
    </row>
    <row r="30" spans="1:28" x14ac:dyDescent="0.2">
      <c r="A30" s="21" t="s">
        <v>25</v>
      </c>
      <c r="B30" s="22">
        <v>44866</v>
      </c>
      <c r="C30" s="23"/>
      <c r="D30" s="23"/>
      <c r="E30" s="23"/>
      <c r="F30" s="23">
        <v>12</v>
      </c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>
        <f t="shared" si="1"/>
        <v>0</v>
      </c>
      <c r="AB30" s="29">
        <f t="shared" si="0"/>
        <v>12</v>
      </c>
    </row>
    <row r="31" spans="1:28" x14ac:dyDescent="0.2">
      <c r="A31" s="21" t="s">
        <v>26</v>
      </c>
      <c r="B31" s="22">
        <v>45077</v>
      </c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>
        <f t="shared" si="1"/>
        <v>0</v>
      </c>
      <c r="AB31" s="29">
        <f t="shared" si="0"/>
        <v>0</v>
      </c>
    </row>
    <row r="32" spans="1:28" x14ac:dyDescent="0.2">
      <c r="A32" s="21" t="s">
        <v>27</v>
      </c>
      <c r="B32" s="22">
        <v>45185</v>
      </c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>
        <f t="shared" si="1"/>
        <v>0</v>
      </c>
      <c r="AB32" s="29">
        <f t="shared" si="0"/>
        <v>0</v>
      </c>
    </row>
    <row r="33" spans="1:28" x14ac:dyDescent="0.2">
      <c r="A33" s="21" t="s">
        <v>28</v>
      </c>
      <c r="B33" s="22">
        <v>42627</v>
      </c>
      <c r="C33" s="23"/>
      <c r="D33" s="23"/>
      <c r="E33" s="23"/>
      <c r="F33" s="23">
        <v>22</v>
      </c>
      <c r="G33" s="23">
        <v>1</v>
      </c>
      <c r="H33" s="24">
        <v>45066</v>
      </c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>
        <f t="shared" si="1"/>
        <v>1</v>
      </c>
      <c r="AB33" s="29">
        <f t="shared" si="0"/>
        <v>21</v>
      </c>
    </row>
    <row r="34" spans="1:28" x14ac:dyDescent="0.2">
      <c r="A34" s="21" t="s">
        <v>29</v>
      </c>
      <c r="B34" s="22">
        <v>44957</v>
      </c>
      <c r="C34" s="23"/>
      <c r="D34" s="23"/>
      <c r="E34" s="23"/>
      <c r="F34" s="23">
        <v>12</v>
      </c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>
        <f t="shared" si="1"/>
        <v>0</v>
      </c>
      <c r="AB34" s="29">
        <f t="shared" si="0"/>
        <v>12</v>
      </c>
    </row>
    <row r="35" spans="1:28" x14ac:dyDescent="0.2">
      <c r="A35" s="21" t="s">
        <v>30</v>
      </c>
      <c r="B35" s="22">
        <v>45170</v>
      </c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>
        <f t="shared" si="1"/>
        <v>0</v>
      </c>
      <c r="AB35" s="29">
        <f t="shared" si="0"/>
        <v>0</v>
      </c>
    </row>
    <row r="36" spans="1:28" x14ac:dyDescent="0.2">
      <c r="A36" s="21" t="s">
        <v>31</v>
      </c>
      <c r="B36" s="22">
        <v>44608</v>
      </c>
      <c r="C36" s="23"/>
      <c r="D36" s="23"/>
      <c r="E36" s="23"/>
      <c r="F36" s="23">
        <v>12</v>
      </c>
      <c r="G36" s="23">
        <v>2</v>
      </c>
      <c r="H36" s="24" t="s">
        <v>64</v>
      </c>
      <c r="I36" s="23">
        <v>2</v>
      </c>
      <c r="J36" s="24" t="s">
        <v>65</v>
      </c>
      <c r="K36" s="23">
        <v>1.5</v>
      </c>
      <c r="L36" s="23" t="s">
        <v>66</v>
      </c>
      <c r="M36" s="23">
        <v>1</v>
      </c>
      <c r="N36" s="24">
        <v>45180</v>
      </c>
      <c r="O36" s="23">
        <v>1</v>
      </c>
      <c r="P36" s="24">
        <v>45219</v>
      </c>
      <c r="Q36" s="23">
        <v>1</v>
      </c>
      <c r="R36" s="24">
        <v>45236</v>
      </c>
      <c r="S36" s="23"/>
      <c r="T36" s="23"/>
      <c r="U36" s="23"/>
      <c r="V36" s="23"/>
      <c r="W36" s="23"/>
      <c r="X36" s="23"/>
      <c r="Y36" s="23"/>
      <c r="Z36" s="23"/>
      <c r="AA36" s="23">
        <f t="shared" si="1"/>
        <v>8.5</v>
      </c>
      <c r="AB36" s="29">
        <f t="shared" si="0"/>
        <v>3.5</v>
      </c>
    </row>
    <row r="37" spans="1:28" x14ac:dyDescent="0.2">
      <c r="A37" s="21" t="s">
        <v>32</v>
      </c>
      <c r="B37" s="22">
        <v>43612</v>
      </c>
      <c r="C37" s="23"/>
      <c r="D37" s="23"/>
      <c r="E37" s="23"/>
      <c r="F37" s="23">
        <v>18</v>
      </c>
      <c r="G37" s="23">
        <v>4</v>
      </c>
      <c r="H37" s="23" t="s">
        <v>67</v>
      </c>
      <c r="I37" s="23">
        <v>1</v>
      </c>
      <c r="J37" s="24">
        <v>45066</v>
      </c>
      <c r="K37" s="23">
        <v>1</v>
      </c>
      <c r="L37" s="24">
        <v>45094</v>
      </c>
      <c r="M37" s="23">
        <v>9</v>
      </c>
      <c r="N37" s="23" t="s">
        <v>68</v>
      </c>
      <c r="O37" s="23">
        <v>0.5</v>
      </c>
      <c r="P37" s="24">
        <v>45156</v>
      </c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>
        <f t="shared" si="1"/>
        <v>15.5</v>
      </c>
      <c r="AB37" s="29">
        <f t="shared" si="0"/>
        <v>2.5</v>
      </c>
    </row>
    <row r="38" spans="1:28" x14ac:dyDescent="0.2">
      <c r="A38" s="21" t="s">
        <v>33</v>
      </c>
      <c r="B38" s="22">
        <v>43481</v>
      </c>
      <c r="C38" s="23"/>
      <c r="D38" s="23"/>
      <c r="E38" s="23"/>
      <c r="F38" s="23">
        <v>18</v>
      </c>
      <c r="G38" s="23">
        <v>1.5</v>
      </c>
      <c r="H38" s="23" t="s">
        <v>69</v>
      </c>
      <c r="I38" s="23">
        <v>5</v>
      </c>
      <c r="J38" s="23" t="s">
        <v>70</v>
      </c>
      <c r="K38" s="23">
        <v>2</v>
      </c>
      <c r="L38" s="23" t="s">
        <v>71</v>
      </c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>
        <f t="shared" si="1"/>
        <v>8.5</v>
      </c>
      <c r="AB38" s="29">
        <f t="shared" si="0"/>
        <v>9.5</v>
      </c>
    </row>
    <row r="39" spans="1:28" x14ac:dyDescent="0.2">
      <c r="A39" s="21" t="s">
        <v>34</v>
      </c>
      <c r="B39" s="22">
        <v>44292</v>
      </c>
      <c r="C39" s="23"/>
      <c r="D39" s="23"/>
      <c r="E39" s="23"/>
      <c r="F39" s="23">
        <v>14</v>
      </c>
      <c r="G39" s="23">
        <v>1</v>
      </c>
      <c r="H39" s="24">
        <v>44980</v>
      </c>
      <c r="I39" s="23">
        <v>1</v>
      </c>
      <c r="J39" s="24">
        <v>45052</v>
      </c>
      <c r="K39" s="23">
        <v>0.5</v>
      </c>
      <c r="L39" s="24">
        <v>45075</v>
      </c>
      <c r="M39" s="23">
        <v>6</v>
      </c>
      <c r="N39" s="23" t="s">
        <v>74</v>
      </c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>
        <f t="shared" si="1"/>
        <v>8.5</v>
      </c>
      <c r="AB39" s="29">
        <f t="shared" si="0"/>
        <v>5.5</v>
      </c>
    </row>
    <row r="40" spans="1:28" x14ac:dyDescent="0.2">
      <c r="A40" s="21" t="s">
        <v>35</v>
      </c>
      <c r="B40" s="22">
        <v>44743</v>
      </c>
      <c r="C40" s="23"/>
      <c r="D40" s="23"/>
      <c r="E40" s="23"/>
      <c r="F40" s="23">
        <v>12</v>
      </c>
      <c r="G40" s="23">
        <v>1</v>
      </c>
      <c r="H40" s="24">
        <v>45236</v>
      </c>
      <c r="I40" s="23">
        <v>1</v>
      </c>
      <c r="J40" s="23" t="s">
        <v>72</v>
      </c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>
        <f t="shared" si="1"/>
        <v>2</v>
      </c>
      <c r="AB40" s="29">
        <f t="shared" si="0"/>
        <v>10</v>
      </c>
    </row>
    <row r="41" spans="1:28" x14ac:dyDescent="0.2">
      <c r="A41" s="21" t="s">
        <v>36</v>
      </c>
      <c r="B41" s="22">
        <v>44889</v>
      </c>
      <c r="C41" s="23"/>
      <c r="D41" s="23"/>
      <c r="E41" s="23"/>
      <c r="F41" s="23">
        <v>12</v>
      </c>
      <c r="G41" s="23">
        <v>1</v>
      </c>
      <c r="H41" s="24">
        <v>45180</v>
      </c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>
        <f t="shared" si="1"/>
        <v>1</v>
      </c>
      <c r="AB41" s="29">
        <f t="shared" si="0"/>
        <v>11</v>
      </c>
    </row>
    <row r="42" spans="1:28" x14ac:dyDescent="0.2">
      <c r="A42" s="21" t="s">
        <v>37</v>
      </c>
      <c r="B42" s="22">
        <v>44927</v>
      </c>
      <c r="C42" s="23"/>
      <c r="D42" s="23"/>
      <c r="E42" s="23"/>
      <c r="F42" s="23">
        <v>12</v>
      </c>
      <c r="G42" s="23">
        <v>1</v>
      </c>
      <c r="H42" s="24">
        <v>45086</v>
      </c>
      <c r="I42" s="23">
        <v>1</v>
      </c>
      <c r="J42" s="24">
        <v>45125</v>
      </c>
      <c r="K42" s="23">
        <v>1</v>
      </c>
      <c r="L42" s="24">
        <v>45156</v>
      </c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>
        <f t="shared" si="1"/>
        <v>3</v>
      </c>
      <c r="AB42" s="29">
        <f t="shared" si="0"/>
        <v>9</v>
      </c>
    </row>
    <row r="43" spans="1:28" x14ac:dyDescent="0.2">
      <c r="A43" s="21" t="s">
        <v>38</v>
      </c>
      <c r="B43" s="22">
        <v>44099</v>
      </c>
      <c r="C43" s="23"/>
      <c r="D43" s="23"/>
      <c r="E43" s="23"/>
      <c r="F43" s="23">
        <v>16</v>
      </c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>
        <f t="shared" si="1"/>
        <v>0</v>
      </c>
      <c r="AB43" s="29">
        <f t="shared" si="0"/>
        <v>16</v>
      </c>
    </row>
    <row r="44" spans="1:28" x14ac:dyDescent="0.2">
      <c r="A44" s="25" t="s">
        <v>39</v>
      </c>
      <c r="B44" s="26">
        <v>44970</v>
      </c>
      <c r="C44" s="27"/>
      <c r="D44" s="27"/>
      <c r="E44" s="27"/>
      <c r="F44" s="27">
        <v>12</v>
      </c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>
        <f t="shared" si="1"/>
        <v>0</v>
      </c>
      <c r="AB44" s="30">
        <f t="shared" si="0"/>
        <v>12</v>
      </c>
    </row>
  </sheetData>
  <mergeCells count="2">
    <mergeCell ref="C2:F2"/>
    <mergeCell ref="G2:Z2"/>
  </mergeCells>
  <pageMargins left="0.7" right="0.7" top="0.75" bottom="0.75" header="0.3" footer="0.3"/>
  <ignoredErrors>
    <ignoredError sqref="H16:P20 H14:P15 H10:P11 H8:P8 H7:P7 H9:P9 H12:N12 P13 R13 H22:P42 H21:N21" twoDigitTextYear="1"/>
    <ignoredError sqref="AA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7"/>
  <sheetViews>
    <sheetView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2" sqref="A2"/>
    </sheetView>
  </sheetViews>
  <sheetFormatPr baseColWidth="10" defaultRowHeight="12" x14ac:dyDescent="0.2"/>
  <cols>
    <col min="1" max="1" width="33.5703125" style="1" customWidth="1"/>
    <col min="2" max="2" width="9.85546875" style="2" bestFit="1" customWidth="1"/>
    <col min="3" max="3" width="10.5703125" style="1" bestFit="1" customWidth="1"/>
    <col min="4" max="4" width="4.5703125" style="1" bestFit="1" customWidth="1"/>
    <col min="5" max="5" width="15.7109375" style="1" customWidth="1"/>
    <col min="6" max="6" width="4.5703125" style="1" bestFit="1" customWidth="1"/>
    <col min="7" max="7" width="13.42578125" style="1" bestFit="1" customWidth="1"/>
    <col min="8" max="8" width="4.5703125" style="1" bestFit="1" customWidth="1"/>
    <col min="9" max="9" width="15" style="1" bestFit="1" customWidth="1"/>
    <col min="10" max="10" width="4.5703125" style="1" bestFit="1" customWidth="1"/>
    <col min="11" max="11" width="9.7109375" style="1" bestFit="1" customWidth="1"/>
    <col min="12" max="12" width="4.5703125" style="1" bestFit="1" customWidth="1"/>
    <col min="13" max="13" width="14.85546875" style="1" bestFit="1" customWidth="1"/>
    <col min="14" max="14" width="4.5703125" style="1" bestFit="1" customWidth="1"/>
    <col min="15" max="15" width="7.28515625" style="1" bestFit="1" customWidth="1"/>
    <col min="16" max="16" width="4.5703125" style="1" bestFit="1" customWidth="1"/>
    <col min="17" max="17" width="14.85546875" style="1" customWidth="1"/>
    <col min="18" max="18" width="4.5703125" style="1" bestFit="1" customWidth="1"/>
    <col min="19" max="19" width="9.140625" style="1" bestFit="1" customWidth="1"/>
    <col min="20" max="20" width="4.5703125" style="1" bestFit="1" customWidth="1"/>
    <col min="21" max="21" width="7.28515625" style="1" bestFit="1" customWidth="1"/>
    <col min="22" max="22" width="9" style="1" bestFit="1" customWidth="1"/>
    <col min="23" max="23" width="11.140625" style="1" bestFit="1" customWidth="1"/>
    <col min="24" max="16384" width="11.42578125" style="1"/>
  </cols>
  <sheetData>
    <row r="1" spans="1:24" s="32" customFormat="1" x14ac:dyDescent="0.2">
      <c r="A1" s="37"/>
      <c r="B1" s="38"/>
      <c r="C1" s="39" t="s">
        <v>104</v>
      </c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1"/>
      <c r="W1" s="42"/>
    </row>
    <row r="2" spans="1:24" s="32" customFormat="1" x14ac:dyDescent="0.2">
      <c r="A2" s="104" t="s">
        <v>120</v>
      </c>
      <c r="B2" s="43"/>
      <c r="C2" s="33" t="s">
        <v>105</v>
      </c>
      <c r="D2" s="158" t="s">
        <v>78</v>
      </c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9" t="s">
        <v>79</v>
      </c>
      <c r="W2" s="44" t="s">
        <v>83</v>
      </c>
    </row>
    <row r="3" spans="1:24" s="32" customFormat="1" x14ac:dyDescent="0.2">
      <c r="A3" s="45"/>
      <c r="B3" s="9" t="s">
        <v>81</v>
      </c>
      <c r="C3" s="3"/>
      <c r="D3" s="3"/>
      <c r="E3" s="10"/>
      <c r="F3" s="3"/>
      <c r="G3" s="10"/>
      <c r="H3" s="3"/>
      <c r="I3" s="10"/>
      <c r="J3" s="3"/>
      <c r="K3" s="10"/>
      <c r="L3" s="3"/>
      <c r="M3" s="10"/>
      <c r="N3" s="3"/>
      <c r="O3" s="10"/>
      <c r="P3" s="3"/>
      <c r="Q3" s="10"/>
      <c r="R3" s="3"/>
      <c r="S3" s="10"/>
      <c r="T3" s="3"/>
      <c r="U3" s="10"/>
      <c r="V3" s="6" t="s">
        <v>80</v>
      </c>
      <c r="W3" s="46" t="s">
        <v>106</v>
      </c>
    </row>
    <row r="4" spans="1:24" s="32" customFormat="1" x14ac:dyDescent="0.2">
      <c r="A4" s="47"/>
      <c r="B4" s="12" t="s">
        <v>82</v>
      </c>
      <c r="C4" s="12">
        <v>2023</v>
      </c>
      <c r="D4" s="12" t="s">
        <v>83</v>
      </c>
      <c r="E4" s="15" t="s">
        <v>84</v>
      </c>
      <c r="F4" s="12" t="s">
        <v>83</v>
      </c>
      <c r="G4" s="15" t="s">
        <v>84</v>
      </c>
      <c r="H4" s="12" t="s">
        <v>83</v>
      </c>
      <c r="I4" s="15" t="s">
        <v>84</v>
      </c>
      <c r="J4" s="12" t="s">
        <v>83</v>
      </c>
      <c r="K4" s="15" t="s">
        <v>84</v>
      </c>
      <c r="L4" s="12" t="s">
        <v>83</v>
      </c>
      <c r="M4" s="15" t="s">
        <v>84</v>
      </c>
      <c r="N4" s="12" t="s">
        <v>83</v>
      </c>
      <c r="O4" s="15" t="s">
        <v>84</v>
      </c>
      <c r="P4" s="12" t="s">
        <v>83</v>
      </c>
      <c r="Q4" s="15" t="s">
        <v>84</v>
      </c>
      <c r="R4" s="12" t="s">
        <v>83</v>
      </c>
      <c r="S4" s="15" t="s">
        <v>84</v>
      </c>
      <c r="T4" s="12" t="s">
        <v>83</v>
      </c>
      <c r="U4" s="15" t="s">
        <v>84</v>
      </c>
      <c r="V4" s="14"/>
      <c r="W4" s="46" t="s">
        <v>76</v>
      </c>
    </row>
    <row r="5" spans="1:24" x14ac:dyDescent="0.2">
      <c r="A5" s="48" t="s">
        <v>0</v>
      </c>
      <c r="B5" s="34">
        <v>38598</v>
      </c>
      <c r="C5" s="35">
        <v>26</v>
      </c>
      <c r="D5" s="35">
        <v>1</v>
      </c>
      <c r="E5" s="36">
        <v>45003</v>
      </c>
      <c r="F5" s="35">
        <v>1</v>
      </c>
      <c r="G5" s="36">
        <v>45157</v>
      </c>
      <c r="H5" s="35">
        <v>18</v>
      </c>
      <c r="I5" s="35" t="s">
        <v>40</v>
      </c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>
        <f t="shared" ref="V5:V36" si="0">D5+F5+H5+J5+L5+N5+P5+R5+T5</f>
        <v>20</v>
      </c>
      <c r="W5" s="49">
        <f>C5-V5</f>
        <v>6</v>
      </c>
      <c r="X5" s="1" t="s">
        <v>85</v>
      </c>
    </row>
    <row r="6" spans="1:24" x14ac:dyDescent="0.2">
      <c r="A6" s="48" t="s">
        <v>1</v>
      </c>
      <c r="B6" s="34">
        <v>41276</v>
      </c>
      <c r="C6" s="35">
        <v>22</v>
      </c>
      <c r="D6" s="35">
        <v>0.5</v>
      </c>
      <c r="E6" s="35" t="s">
        <v>42</v>
      </c>
      <c r="F6" s="35">
        <v>3</v>
      </c>
      <c r="G6" s="35" t="s">
        <v>43</v>
      </c>
      <c r="H6" s="35">
        <v>1</v>
      </c>
      <c r="I6" s="35" t="s">
        <v>44</v>
      </c>
      <c r="J6" s="35">
        <v>0.5</v>
      </c>
      <c r="K6" s="36">
        <v>45199</v>
      </c>
      <c r="L6" s="35">
        <v>0.5</v>
      </c>
      <c r="M6" s="36">
        <v>45217</v>
      </c>
      <c r="N6" s="35"/>
      <c r="O6" s="35"/>
      <c r="P6" s="35"/>
      <c r="Q6" s="35"/>
      <c r="R6" s="35"/>
      <c r="S6" s="35"/>
      <c r="T6" s="35"/>
      <c r="U6" s="35"/>
      <c r="V6" s="35">
        <f t="shared" si="0"/>
        <v>5.5</v>
      </c>
      <c r="W6" s="49">
        <f t="shared" ref="W6:W44" si="1">C6-V6</f>
        <v>16.5</v>
      </c>
    </row>
    <row r="7" spans="1:24" x14ac:dyDescent="0.2">
      <c r="A7" s="48" t="s">
        <v>2</v>
      </c>
      <c r="B7" s="34">
        <v>42247</v>
      </c>
      <c r="C7" s="35">
        <v>22</v>
      </c>
      <c r="D7" s="35">
        <v>1</v>
      </c>
      <c r="E7" s="36">
        <v>45180</v>
      </c>
      <c r="F7" s="35">
        <v>0.5</v>
      </c>
      <c r="G7" s="36">
        <v>45287</v>
      </c>
      <c r="H7" s="56"/>
      <c r="I7" s="57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>
        <f t="shared" si="0"/>
        <v>1.5</v>
      </c>
      <c r="W7" s="49">
        <f t="shared" si="1"/>
        <v>20.5</v>
      </c>
    </row>
    <row r="8" spans="1:24" s="65" customFormat="1" x14ac:dyDescent="0.2">
      <c r="A8" s="60" t="s">
        <v>3</v>
      </c>
      <c r="B8" s="61">
        <v>41730</v>
      </c>
      <c r="C8" s="62">
        <v>22</v>
      </c>
      <c r="D8" s="62">
        <v>2</v>
      </c>
      <c r="E8" s="62" t="s">
        <v>41</v>
      </c>
      <c r="F8" s="62">
        <v>6</v>
      </c>
      <c r="G8" s="62" t="s">
        <v>47</v>
      </c>
      <c r="H8" s="62">
        <v>14</v>
      </c>
      <c r="I8" s="62" t="s">
        <v>103</v>
      </c>
      <c r="J8" s="107"/>
      <c r="K8" s="107"/>
      <c r="L8" s="107"/>
      <c r="M8" s="108"/>
      <c r="N8" s="107"/>
      <c r="O8" s="109"/>
      <c r="P8" s="62"/>
      <c r="Q8" s="62"/>
      <c r="R8" s="62"/>
      <c r="S8" s="62"/>
      <c r="T8" s="62"/>
      <c r="U8" s="62"/>
      <c r="V8" s="62">
        <f t="shared" si="0"/>
        <v>22</v>
      </c>
      <c r="W8" s="64">
        <f t="shared" si="1"/>
        <v>0</v>
      </c>
    </row>
    <row r="9" spans="1:24" x14ac:dyDescent="0.2">
      <c r="A9" s="48" t="s">
        <v>4</v>
      </c>
      <c r="B9" s="34">
        <v>42006</v>
      </c>
      <c r="C9" s="35">
        <v>22</v>
      </c>
      <c r="D9" s="35">
        <v>1</v>
      </c>
      <c r="E9" s="36">
        <v>45136</v>
      </c>
      <c r="F9" s="35">
        <v>1.5</v>
      </c>
      <c r="G9" s="35" t="s">
        <v>112</v>
      </c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>
        <f t="shared" si="0"/>
        <v>2.5</v>
      </c>
      <c r="W9" s="49">
        <f t="shared" si="1"/>
        <v>19.5</v>
      </c>
    </row>
    <row r="10" spans="1:24" x14ac:dyDescent="0.2">
      <c r="A10" s="48" t="s">
        <v>5</v>
      </c>
      <c r="B10" s="34">
        <v>42633</v>
      </c>
      <c r="C10" s="35">
        <v>22</v>
      </c>
      <c r="D10" s="35">
        <v>18</v>
      </c>
      <c r="E10" s="35" t="s">
        <v>45</v>
      </c>
      <c r="F10" s="35">
        <v>1.5</v>
      </c>
      <c r="G10" s="35" t="s">
        <v>46</v>
      </c>
      <c r="H10" s="35">
        <v>0.5</v>
      </c>
      <c r="I10" s="36">
        <v>45251</v>
      </c>
      <c r="J10" s="35">
        <v>0.5</v>
      </c>
      <c r="K10" s="36">
        <v>45281</v>
      </c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>
        <f t="shared" si="0"/>
        <v>20.5</v>
      </c>
      <c r="W10" s="49">
        <f t="shared" si="1"/>
        <v>1.5</v>
      </c>
    </row>
    <row r="11" spans="1:24" s="59" customFormat="1" x14ac:dyDescent="0.2">
      <c r="A11" s="54" t="s">
        <v>6</v>
      </c>
      <c r="B11" s="55">
        <v>44771</v>
      </c>
      <c r="C11" s="56">
        <v>12</v>
      </c>
      <c r="D11" s="56">
        <v>0.5</v>
      </c>
      <c r="E11" s="57">
        <v>45035</v>
      </c>
      <c r="F11" s="56">
        <v>1</v>
      </c>
      <c r="G11" s="57">
        <v>45057</v>
      </c>
      <c r="H11" s="56">
        <v>7</v>
      </c>
      <c r="I11" s="56" t="s">
        <v>48</v>
      </c>
      <c r="J11" s="56">
        <v>1</v>
      </c>
      <c r="K11" s="57">
        <v>45229</v>
      </c>
      <c r="L11" s="56">
        <v>2.5</v>
      </c>
      <c r="M11" s="56" t="s">
        <v>49</v>
      </c>
      <c r="N11" s="56"/>
      <c r="O11" s="56"/>
      <c r="P11" s="56"/>
      <c r="Q11" s="56"/>
      <c r="R11" s="56"/>
      <c r="S11" s="56"/>
      <c r="T11" s="56"/>
      <c r="U11" s="56"/>
      <c r="V11" s="56">
        <f t="shared" si="0"/>
        <v>12</v>
      </c>
      <c r="W11" s="58">
        <f t="shared" si="1"/>
        <v>0</v>
      </c>
    </row>
    <row r="12" spans="1:24" x14ac:dyDescent="0.2">
      <c r="A12" s="48" t="s">
        <v>7</v>
      </c>
      <c r="B12" s="34">
        <v>42646</v>
      </c>
      <c r="C12" s="35">
        <v>22</v>
      </c>
      <c r="D12" s="35">
        <v>1</v>
      </c>
      <c r="E12" s="36">
        <v>45216</v>
      </c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>
        <f t="shared" si="0"/>
        <v>1</v>
      </c>
      <c r="W12" s="49">
        <f t="shared" si="1"/>
        <v>21</v>
      </c>
    </row>
    <row r="13" spans="1:24" x14ac:dyDescent="0.2">
      <c r="A13" s="48" t="s">
        <v>8</v>
      </c>
      <c r="B13" s="34">
        <v>43381</v>
      </c>
      <c r="C13" s="35">
        <v>20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>
        <f t="shared" si="0"/>
        <v>0</v>
      </c>
      <c r="W13" s="49">
        <f t="shared" si="1"/>
        <v>20</v>
      </c>
    </row>
    <row r="14" spans="1:24" s="65" customFormat="1" x14ac:dyDescent="0.2">
      <c r="A14" s="60" t="s">
        <v>9</v>
      </c>
      <c r="B14" s="61">
        <v>43850</v>
      </c>
      <c r="C14" s="62">
        <v>16</v>
      </c>
      <c r="D14" s="62">
        <v>5</v>
      </c>
      <c r="E14" s="62" t="s">
        <v>50</v>
      </c>
      <c r="F14" s="62">
        <v>1</v>
      </c>
      <c r="G14" s="63">
        <v>45073</v>
      </c>
      <c r="H14" s="62">
        <v>0.5</v>
      </c>
      <c r="I14" s="63">
        <v>45087</v>
      </c>
      <c r="J14" s="62">
        <v>0.5</v>
      </c>
      <c r="K14" s="63">
        <v>45108</v>
      </c>
      <c r="L14" s="62">
        <v>7</v>
      </c>
      <c r="M14" s="63" t="s">
        <v>51</v>
      </c>
      <c r="N14" s="62">
        <v>1</v>
      </c>
      <c r="O14" s="63">
        <v>45227</v>
      </c>
      <c r="P14" s="62">
        <v>1</v>
      </c>
      <c r="Q14" s="66" t="s">
        <v>99</v>
      </c>
      <c r="R14" s="63"/>
      <c r="S14" s="63"/>
      <c r="T14" s="62"/>
      <c r="U14" s="62"/>
      <c r="V14" s="62">
        <f t="shared" si="0"/>
        <v>16</v>
      </c>
      <c r="W14" s="64">
        <f t="shared" si="1"/>
        <v>0</v>
      </c>
    </row>
    <row r="15" spans="1:24" s="59" customFormat="1" x14ac:dyDescent="0.2">
      <c r="A15" s="54" t="s">
        <v>10</v>
      </c>
      <c r="B15" s="55">
        <v>44690</v>
      </c>
      <c r="C15" s="56">
        <v>12</v>
      </c>
      <c r="D15" s="56">
        <v>0.5</v>
      </c>
      <c r="E15" s="57">
        <v>45009</v>
      </c>
      <c r="F15" s="56">
        <v>0.5</v>
      </c>
      <c r="G15" s="57">
        <v>45121</v>
      </c>
      <c r="H15" s="56">
        <v>6</v>
      </c>
      <c r="I15" s="56" t="s">
        <v>52</v>
      </c>
      <c r="J15" s="56">
        <v>1</v>
      </c>
      <c r="K15" s="57">
        <v>45157</v>
      </c>
      <c r="L15" s="56">
        <v>0.5</v>
      </c>
      <c r="M15" s="57">
        <v>45211</v>
      </c>
      <c r="N15" s="56">
        <v>0.5</v>
      </c>
      <c r="O15" s="57">
        <v>45246</v>
      </c>
      <c r="P15" s="56">
        <v>3</v>
      </c>
      <c r="Q15" s="56" t="s">
        <v>98</v>
      </c>
      <c r="R15" s="56"/>
      <c r="S15" s="56"/>
      <c r="T15" s="56"/>
      <c r="U15" s="56"/>
      <c r="V15" s="56">
        <f t="shared" si="0"/>
        <v>12</v>
      </c>
      <c r="W15" s="58">
        <f t="shared" si="1"/>
        <v>0</v>
      </c>
    </row>
    <row r="16" spans="1:24" x14ac:dyDescent="0.2">
      <c r="A16" s="48" t="s">
        <v>11</v>
      </c>
      <c r="B16" s="34">
        <v>44669</v>
      </c>
      <c r="C16" s="35">
        <v>12</v>
      </c>
      <c r="D16" s="35">
        <v>1</v>
      </c>
      <c r="E16" s="36">
        <v>45003</v>
      </c>
      <c r="F16" s="35">
        <v>1</v>
      </c>
      <c r="G16" s="36">
        <v>45031</v>
      </c>
      <c r="H16" s="35">
        <v>1</v>
      </c>
      <c r="I16" s="36">
        <v>45051</v>
      </c>
      <c r="J16" s="35">
        <v>1</v>
      </c>
      <c r="K16" s="36">
        <v>45127</v>
      </c>
      <c r="L16" s="35">
        <v>4</v>
      </c>
      <c r="M16" s="35" t="s">
        <v>53</v>
      </c>
      <c r="N16" s="35">
        <v>1</v>
      </c>
      <c r="O16" s="36">
        <v>45225</v>
      </c>
      <c r="P16" s="35">
        <v>1</v>
      </c>
      <c r="Q16" s="36">
        <v>45260</v>
      </c>
      <c r="R16" s="35">
        <v>1</v>
      </c>
      <c r="S16" s="36">
        <v>45272</v>
      </c>
      <c r="T16" s="35"/>
      <c r="U16" s="35"/>
      <c r="V16" s="35">
        <f t="shared" si="0"/>
        <v>11</v>
      </c>
      <c r="W16" s="49">
        <f t="shared" si="1"/>
        <v>1</v>
      </c>
    </row>
    <row r="17" spans="1:23" x14ac:dyDescent="0.2">
      <c r="A17" s="48" t="s">
        <v>12</v>
      </c>
      <c r="B17" s="34">
        <v>44893</v>
      </c>
      <c r="C17" s="35">
        <v>12</v>
      </c>
      <c r="D17" s="35">
        <v>2</v>
      </c>
      <c r="E17" s="35" t="s">
        <v>54</v>
      </c>
      <c r="F17" s="35">
        <v>1</v>
      </c>
      <c r="G17" s="36">
        <v>45258</v>
      </c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>
        <f t="shared" si="0"/>
        <v>3</v>
      </c>
      <c r="W17" s="49">
        <f t="shared" si="1"/>
        <v>9</v>
      </c>
    </row>
    <row r="18" spans="1:23" x14ac:dyDescent="0.2">
      <c r="A18" s="48" t="s">
        <v>13</v>
      </c>
      <c r="B18" s="34">
        <v>45160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>
        <f t="shared" si="0"/>
        <v>0</v>
      </c>
      <c r="W18" s="49">
        <f t="shared" si="1"/>
        <v>0</v>
      </c>
    </row>
    <row r="19" spans="1:23" x14ac:dyDescent="0.2">
      <c r="A19" s="48" t="s">
        <v>14</v>
      </c>
      <c r="B19" s="34">
        <v>44700</v>
      </c>
      <c r="C19" s="35">
        <v>12</v>
      </c>
      <c r="D19" s="35">
        <v>1</v>
      </c>
      <c r="E19" s="36">
        <v>45057</v>
      </c>
      <c r="F19" s="35">
        <v>6</v>
      </c>
      <c r="G19" s="35" t="s">
        <v>73</v>
      </c>
      <c r="H19" s="35">
        <v>1</v>
      </c>
      <c r="I19" s="36">
        <v>45281</v>
      </c>
      <c r="J19" s="35">
        <v>4</v>
      </c>
      <c r="K19" s="68" t="s">
        <v>115</v>
      </c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>
        <f t="shared" si="0"/>
        <v>12</v>
      </c>
      <c r="W19" s="49">
        <f t="shared" si="1"/>
        <v>0</v>
      </c>
    </row>
    <row r="20" spans="1:23" x14ac:dyDescent="0.2">
      <c r="A20" s="48" t="s">
        <v>15</v>
      </c>
      <c r="B20" s="34">
        <v>44805</v>
      </c>
      <c r="C20" s="35">
        <v>12</v>
      </c>
      <c r="D20" s="35">
        <v>2</v>
      </c>
      <c r="E20" s="35" t="s">
        <v>100</v>
      </c>
      <c r="F20" s="35">
        <v>1</v>
      </c>
      <c r="G20" s="36">
        <v>45278</v>
      </c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>
        <f t="shared" si="0"/>
        <v>3</v>
      </c>
      <c r="W20" s="49">
        <f t="shared" si="1"/>
        <v>9</v>
      </c>
    </row>
    <row r="21" spans="1:23" x14ac:dyDescent="0.2">
      <c r="A21" s="48" t="s">
        <v>16</v>
      </c>
      <c r="B21" s="34">
        <v>41730</v>
      </c>
      <c r="C21" s="35">
        <v>22</v>
      </c>
      <c r="D21" s="35">
        <v>1</v>
      </c>
      <c r="E21" s="36">
        <v>45092</v>
      </c>
      <c r="F21" s="35">
        <v>9</v>
      </c>
      <c r="G21" s="35" t="s">
        <v>55</v>
      </c>
      <c r="H21" s="35">
        <v>2</v>
      </c>
      <c r="I21" s="35" t="s">
        <v>110</v>
      </c>
      <c r="J21" s="35">
        <v>10</v>
      </c>
      <c r="K21" s="68" t="s">
        <v>115</v>
      </c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>
        <f t="shared" si="0"/>
        <v>22</v>
      </c>
      <c r="W21" s="49">
        <f t="shared" si="1"/>
        <v>0</v>
      </c>
    </row>
    <row r="22" spans="1:23" s="59" customFormat="1" x14ac:dyDescent="0.2">
      <c r="A22" s="54" t="s">
        <v>17</v>
      </c>
      <c r="B22" s="55">
        <v>43913</v>
      </c>
      <c r="C22" s="56">
        <v>16</v>
      </c>
      <c r="D22" s="56">
        <v>16</v>
      </c>
      <c r="E22" s="56" t="s">
        <v>59</v>
      </c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>
        <f t="shared" si="0"/>
        <v>16</v>
      </c>
      <c r="W22" s="58">
        <f t="shared" si="1"/>
        <v>0</v>
      </c>
    </row>
    <row r="23" spans="1:23" s="59" customFormat="1" x14ac:dyDescent="0.2">
      <c r="A23" s="54" t="s">
        <v>18</v>
      </c>
      <c r="B23" s="55">
        <v>44578</v>
      </c>
      <c r="C23" s="56">
        <v>12</v>
      </c>
      <c r="D23" s="56">
        <v>12</v>
      </c>
      <c r="E23" s="56" t="s">
        <v>60</v>
      </c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>
        <f t="shared" si="0"/>
        <v>12</v>
      </c>
      <c r="W23" s="58">
        <f t="shared" si="1"/>
        <v>0</v>
      </c>
    </row>
    <row r="24" spans="1:23" s="59" customFormat="1" x14ac:dyDescent="0.2">
      <c r="A24" s="54" t="s">
        <v>19</v>
      </c>
      <c r="B24" s="55">
        <v>44277</v>
      </c>
      <c r="C24" s="56">
        <v>14</v>
      </c>
      <c r="D24" s="56">
        <v>3</v>
      </c>
      <c r="E24" s="56" t="s">
        <v>56</v>
      </c>
      <c r="F24" s="56">
        <v>7</v>
      </c>
      <c r="G24" s="56" t="s">
        <v>57</v>
      </c>
      <c r="H24" s="56">
        <v>4</v>
      </c>
      <c r="I24" s="56" t="s">
        <v>58</v>
      </c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>
        <f t="shared" si="0"/>
        <v>14</v>
      </c>
      <c r="W24" s="58">
        <f t="shared" si="1"/>
        <v>0</v>
      </c>
    </row>
    <row r="25" spans="1:23" x14ac:dyDescent="0.2">
      <c r="A25" s="48" t="s">
        <v>20</v>
      </c>
      <c r="B25" s="34">
        <v>44279</v>
      </c>
      <c r="C25" s="35">
        <v>14</v>
      </c>
      <c r="D25" s="35">
        <v>6</v>
      </c>
      <c r="E25" s="35" t="s">
        <v>61</v>
      </c>
      <c r="F25" s="35">
        <v>8</v>
      </c>
      <c r="G25" s="35" t="s">
        <v>109</v>
      </c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>
        <f t="shared" si="0"/>
        <v>14</v>
      </c>
      <c r="W25" s="49">
        <f t="shared" si="1"/>
        <v>0</v>
      </c>
    </row>
    <row r="26" spans="1:23" s="59" customFormat="1" x14ac:dyDescent="0.2">
      <c r="A26" s="54" t="s">
        <v>21</v>
      </c>
      <c r="B26" s="55">
        <v>44293</v>
      </c>
      <c r="C26" s="56">
        <v>14</v>
      </c>
      <c r="D26" s="56">
        <v>1</v>
      </c>
      <c r="E26" s="57">
        <v>45038</v>
      </c>
      <c r="F26" s="56">
        <v>6</v>
      </c>
      <c r="G26" s="56" t="s">
        <v>62</v>
      </c>
      <c r="H26" s="56">
        <v>1</v>
      </c>
      <c r="I26" s="57">
        <v>45121</v>
      </c>
      <c r="J26" s="56">
        <v>1</v>
      </c>
      <c r="K26" s="57">
        <v>45201</v>
      </c>
      <c r="L26" s="56">
        <v>5</v>
      </c>
      <c r="M26" s="56" t="s">
        <v>101</v>
      </c>
      <c r="N26" s="56"/>
      <c r="O26" s="56"/>
      <c r="P26" s="56"/>
      <c r="Q26" s="56"/>
      <c r="R26" s="56"/>
      <c r="S26" s="56"/>
      <c r="T26" s="56"/>
      <c r="U26" s="56"/>
      <c r="V26" s="56">
        <f t="shared" si="0"/>
        <v>14</v>
      </c>
      <c r="W26" s="58">
        <f t="shared" si="1"/>
        <v>0</v>
      </c>
    </row>
    <row r="27" spans="1:23" s="59" customFormat="1" x14ac:dyDescent="0.2">
      <c r="A27" s="54" t="s">
        <v>22</v>
      </c>
      <c r="B27" s="55">
        <v>44908</v>
      </c>
      <c r="C27" s="56">
        <v>12</v>
      </c>
      <c r="D27" s="56">
        <v>1</v>
      </c>
      <c r="E27" s="57">
        <v>45653</v>
      </c>
      <c r="F27" s="56">
        <v>2</v>
      </c>
      <c r="G27" s="56" t="s">
        <v>116</v>
      </c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>
        <f t="shared" si="0"/>
        <v>3</v>
      </c>
      <c r="W27" s="58">
        <f t="shared" si="1"/>
        <v>9</v>
      </c>
    </row>
    <row r="28" spans="1:23" s="59" customFormat="1" x14ac:dyDescent="0.2">
      <c r="A28" s="54" t="s">
        <v>23</v>
      </c>
      <c r="B28" s="55">
        <v>44805</v>
      </c>
      <c r="C28" s="56">
        <v>12</v>
      </c>
      <c r="D28" s="56">
        <v>12</v>
      </c>
      <c r="E28" s="56" t="s">
        <v>63</v>
      </c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>
        <f t="shared" si="0"/>
        <v>12</v>
      </c>
      <c r="W28" s="58">
        <f t="shared" si="1"/>
        <v>0</v>
      </c>
    </row>
    <row r="29" spans="1:23" x14ac:dyDescent="0.2">
      <c r="A29" s="48" t="s">
        <v>24</v>
      </c>
      <c r="B29" s="34">
        <v>44805</v>
      </c>
      <c r="C29" s="35">
        <v>12</v>
      </c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>
        <f t="shared" si="0"/>
        <v>0</v>
      </c>
      <c r="W29" s="49">
        <f t="shared" si="1"/>
        <v>12</v>
      </c>
    </row>
    <row r="30" spans="1:23" x14ac:dyDescent="0.2">
      <c r="A30" s="48" t="s">
        <v>25</v>
      </c>
      <c r="B30" s="34">
        <v>44866</v>
      </c>
      <c r="C30" s="35">
        <v>12</v>
      </c>
      <c r="D30" s="35">
        <v>3</v>
      </c>
      <c r="E30" s="35" t="s">
        <v>102</v>
      </c>
      <c r="F30" s="35">
        <v>1</v>
      </c>
      <c r="G30" s="36">
        <v>45271</v>
      </c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>
        <f t="shared" si="0"/>
        <v>4</v>
      </c>
      <c r="W30" s="49">
        <f t="shared" si="1"/>
        <v>8</v>
      </c>
    </row>
    <row r="31" spans="1:23" x14ac:dyDescent="0.2">
      <c r="A31" s="48" t="s">
        <v>26</v>
      </c>
      <c r="B31" s="34">
        <v>45077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>
        <f t="shared" si="0"/>
        <v>0</v>
      </c>
      <c r="W31" s="49">
        <f t="shared" si="1"/>
        <v>0</v>
      </c>
    </row>
    <row r="32" spans="1:23" x14ac:dyDescent="0.2">
      <c r="A32" s="48" t="s">
        <v>27</v>
      </c>
      <c r="B32" s="34">
        <v>45185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>
        <f t="shared" si="0"/>
        <v>0</v>
      </c>
      <c r="W32" s="49">
        <f t="shared" si="1"/>
        <v>0</v>
      </c>
    </row>
    <row r="33" spans="1:23" x14ac:dyDescent="0.2">
      <c r="A33" s="48" t="s">
        <v>28</v>
      </c>
      <c r="B33" s="34">
        <v>42627</v>
      </c>
      <c r="C33" s="35">
        <v>36</v>
      </c>
      <c r="D33" s="35">
        <v>1</v>
      </c>
      <c r="E33" s="36">
        <v>45066</v>
      </c>
      <c r="F33" s="35">
        <v>13</v>
      </c>
      <c r="G33" s="67" t="s">
        <v>111</v>
      </c>
      <c r="H33" s="35"/>
      <c r="I33" s="35" t="s">
        <v>113</v>
      </c>
      <c r="J33" s="35"/>
      <c r="K33" s="35" t="s">
        <v>114</v>
      </c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>
        <f t="shared" si="0"/>
        <v>14</v>
      </c>
      <c r="W33" s="49">
        <f t="shared" si="1"/>
        <v>22</v>
      </c>
    </row>
    <row r="34" spans="1:23" x14ac:dyDescent="0.2">
      <c r="A34" s="48" t="s">
        <v>29</v>
      </c>
      <c r="B34" s="34">
        <v>44957</v>
      </c>
      <c r="C34" s="35">
        <v>12</v>
      </c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>
        <f t="shared" si="0"/>
        <v>0</v>
      </c>
      <c r="W34" s="49">
        <f>C34-V34</f>
        <v>12</v>
      </c>
    </row>
    <row r="35" spans="1:23" x14ac:dyDescent="0.2">
      <c r="A35" s="48" t="s">
        <v>30</v>
      </c>
      <c r="B35" s="34">
        <v>45170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>
        <f t="shared" si="0"/>
        <v>0</v>
      </c>
      <c r="W35" s="49">
        <f t="shared" si="1"/>
        <v>0</v>
      </c>
    </row>
    <row r="36" spans="1:23" x14ac:dyDescent="0.2">
      <c r="A36" s="48" t="s">
        <v>31</v>
      </c>
      <c r="B36" s="34">
        <v>44608</v>
      </c>
      <c r="C36" s="35">
        <v>12</v>
      </c>
      <c r="D36" s="35">
        <v>2</v>
      </c>
      <c r="E36" s="36" t="s">
        <v>64</v>
      </c>
      <c r="F36" s="35">
        <v>2</v>
      </c>
      <c r="G36" s="36" t="s">
        <v>65</v>
      </c>
      <c r="H36" s="35">
        <v>1.5</v>
      </c>
      <c r="I36" s="35" t="s">
        <v>66</v>
      </c>
      <c r="J36" s="35">
        <v>1</v>
      </c>
      <c r="K36" s="36">
        <v>45180</v>
      </c>
      <c r="L36" s="35">
        <v>1</v>
      </c>
      <c r="M36" s="36">
        <v>45219</v>
      </c>
      <c r="N36" s="35">
        <v>1</v>
      </c>
      <c r="O36" s="36">
        <v>45236</v>
      </c>
      <c r="P36" s="35">
        <v>1</v>
      </c>
      <c r="Q36" s="36">
        <v>45255</v>
      </c>
      <c r="R36" s="35">
        <v>1.5</v>
      </c>
      <c r="S36" s="36" t="s">
        <v>126</v>
      </c>
      <c r="T36" s="35">
        <v>1</v>
      </c>
      <c r="U36" s="105" t="s">
        <v>131</v>
      </c>
      <c r="V36" s="35">
        <f t="shared" si="0"/>
        <v>12</v>
      </c>
      <c r="W36" s="49">
        <f t="shared" si="1"/>
        <v>0</v>
      </c>
    </row>
    <row r="37" spans="1:23" s="59" customFormat="1" x14ac:dyDescent="0.2">
      <c r="A37" s="54" t="s">
        <v>32</v>
      </c>
      <c r="B37" s="55">
        <v>43612</v>
      </c>
      <c r="C37" s="56">
        <v>18</v>
      </c>
      <c r="D37" s="56">
        <v>4</v>
      </c>
      <c r="E37" s="56" t="s">
        <v>67</v>
      </c>
      <c r="F37" s="56">
        <v>1</v>
      </c>
      <c r="G37" s="57">
        <v>45066</v>
      </c>
      <c r="H37" s="56">
        <v>1</v>
      </c>
      <c r="I37" s="57">
        <v>45094</v>
      </c>
      <c r="J37" s="56">
        <v>9</v>
      </c>
      <c r="K37" s="56" t="s">
        <v>68</v>
      </c>
      <c r="L37" s="56">
        <v>0.5</v>
      </c>
      <c r="M37" s="57">
        <v>45156</v>
      </c>
      <c r="N37" s="56">
        <v>0.5</v>
      </c>
      <c r="O37" s="57">
        <v>45244</v>
      </c>
      <c r="P37" s="56">
        <v>1</v>
      </c>
      <c r="Q37" s="57">
        <v>45245</v>
      </c>
      <c r="R37" s="56">
        <v>0.5</v>
      </c>
      <c r="S37" s="57">
        <v>45247</v>
      </c>
      <c r="T37" s="56">
        <v>0.5</v>
      </c>
      <c r="U37" s="57">
        <v>45253</v>
      </c>
      <c r="V37" s="56">
        <f>D37+F37+H37+J37+L37+N37+P37+R37+T37</f>
        <v>18</v>
      </c>
      <c r="W37" s="58">
        <f t="shared" si="1"/>
        <v>0</v>
      </c>
    </row>
    <row r="38" spans="1:23" s="65" customFormat="1" x14ac:dyDescent="0.2">
      <c r="A38" s="60" t="s">
        <v>33</v>
      </c>
      <c r="B38" s="61">
        <v>43481</v>
      </c>
      <c r="C38" s="62">
        <v>18</v>
      </c>
      <c r="D38" s="62">
        <v>1.5</v>
      </c>
      <c r="E38" s="62" t="s">
        <v>69</v>
      </c>
      <c r="F38" s="62">
        <v>5</v>
      </c>
      <c r="G38" s="62" t="s">
        <v>70</v>
      </c>
      <c r="H38" s="62">
        <v>2</v>
      </c>
      <c r="I38" s="62" t="s">
        <v>71</v>
      </c>
      <c r="J38" s="62">
        <v>9.5</v>
      </c>
      <c r="K38" s="62" t="s">
        <v>103</v>
      </c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>
        <f t="shared" ref="V38:V44" si="2">D38+F38+H38+J38+L38+N38+P38+R38+T38</f>
        <v>18</v>
      </c>
      <c r="W38" s="64">
        <f t="shared" si="1"/>
        <v>0</v>
      </c>
    </row>
    <row r="39" spans="1:23" s="65" customFormat="1" x14ac:dyDescent="0.2">
      <c r="A39" s="60" t="s">
        <v>34</v>
      </c>
      <c r="B39" s="61">
        <v>44292</v>
      </c>
      <c r="C39" s="62">
        <v>14</v>
      </c>
      <c r="D39" s="62">
        <v>1</v>
      </c>
      <c r="E39" s="63">
        <v>44980</v>
      </c>
      <c r="F39" s="62">
        <v>1</v>
      </c>
      <c r="G39" s="63">
        <v>45052</v>
      </c>
      <c r="H39" s="62">
        <v>0.5</v>
      </c>
      <c r="I39" s="63">
        <v>45075</v>
      </c>
      <c r="J39" s="62">
        <v>6</v>
      </c>
      <c r="K39" s="62" t="s">
        <v>74</v>
      </c>
      <c r="L39" s="62">
        <v>5.5</v>
      </c>
      <c r="M39" s="62" t="s">
        <v>103</v>
      </c>
      <c r="N39" s="62"/>
      <c r="O39" s="62"/>
      <c r="P39" s="62"/>
      <c r="Q39" s="62"/>
      <c r="R39" s="62"/>
      <c r="S39" s="62"/>
      <c r="T39" s="62"/>
      <c r="U39" s="62"/>
      <c r="V39" s="62">
        <f t="shared" si="2"/>
        <v>14</v>
      </c>
      <c r="W39" s="64">
        <f t="shared" si="1"/>
        <v>0</v>
      </c>
    </row>
    <row r="40" spans="1:23" s="65" customFormat="1" x14ac:dyDescent="0.2">
      <c r="A40" s="60" t="s">
        <v>35</v>
      </c>
      <c r="B40" s="61">
        <v>44743</v>
      </c>
      <c r="C40" s="62">
        <v>12</v>
      </c>
      <c r="D40" s="62">
        <v>1</v>
      </c>
      <c r="E40" s="63">
        <v>45236</v>
      </c>
      <c r="F40" s="62">
        <v>1</v>
      </c>
      <c r="G40" s="62" t="s">
        <v>72</v>
      </c>
      <c r="H40" s="62">
        <v>10</v>
      </c>
      <c r="I40" s="62" t="s">
        <v>103</v>
      </c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>
        <f t="shared" si="2"/>
        <v>12</v>
      </c>
      <c r="W40" s="64">
        <f t="shared" si="1"/>
        <v>0</v>
      </c>
    </row>
    <row r="41" spans="1:23" x14ac:dyDescent="0.2">
      <c r="A41" s="48" t="s">
        <v>36</v>
      </c>
      <c r="B41" s="34">
        <v>44889</v>
      </c>
      <c r="C41" s="35">
        <v>12</v>
      </c>
      <c r="D41" s="35">
        <v>1</v>
      </c>
      <c r="E41" s="36">
        <v>45180</v>
      </c>
      <c r="F41" s="35">
        <v>1</v>
      </c>
      <c r="G41" s="36">
        <v>45255</v>
      </c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>
        <f t="shared" si="2"/>
        <v>2</v>
      </c>
      <c r="W41" s="49">
        <f t="shared" si="1"/>
        <v>10</v>
      </c>
    </row>
    <row r="42" spans="1:23" x14ac:dyDescent="0.2">
      <c r="A42" s="48" t="s">
        <v>37</v>
      </c>
      <c r="B42" s="34">
        <v>44927</v>
      </c>
      <c r="C42" s="35">
        <v>12</v>
      </c>
      <c r="D42" s="35">
        <v>1</v>
      </c>
      <c r="E42" s="36">
        <v>45086</v>
      </c>
      <c r="F42" s="35">
        <v>1</v>
      </c>
      <c r="G42" s="36">
        <v>45125</v>
      </c>
      <c r="H42" s="35">
        <v>1</v>
      </c>
      <c r="I42" s="36">
        <v>45156</v>
      </c>
      <c r="J42" s="35">
        <v>1</v>
      </c>
      <c r="K42" s="36">
        <v>45303</v>
      </c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>
        <f t="shared" si="2"/>
        <v>4</v>
      </c>
      <c r="W42" s="49">
        <f t="shared" si="1"/>
        <v>8</v>
      </c>
    </row>
    <row r="43" spans="1:23" x14ac:dyDescent="0.2">
      <c r="A43" s="48" t="s">
        <v>38</v>
      </c>
      <c r="B43" s="34">
        <v>44099</v>
      </c>
      <c r="C43" s="35">
        <v>16</v>
      </c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>
        <f t="shared" si="2"/>
        <v>0</v>
      </c>
      <c r="W43" s="49">
        <f t="shared" si="1"/>
        <v>16</v>
      </c>
    </row>
    <row r="44" spans="1:23" ht="12.75" thickBot="1" x14ac:dyDescent="0.25">
      <c r="A44" s="50" t="s">
        <v>39</v>
      </c>
      <c r="B44" s="51">
        <v>44970</v>
      </c>
      <c r="C44" s="52">
        <v>12</v>
      </c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>
        <f t="shared" si="2"/>
        <v>0</v>
      </c>
      <c r="W44" s="53">
        <f t="shared" si="1"/>
        <v>12</v>
      </c>
    </row>
    <row r="45" spans="1:23" x14ac:dyDescent="0.2">
      <c r="V45" s="5">
        <f>SUM(V5:V44)</f>
        <v>347</v>
      </c>
      <c r="W45" s="5">
        <f>SUM(W5:W44)</f>
        <v>233</v>
      </c>
    </row>
    <row r="46" spans="1:23" x14ac:dyDescent="0.2">
      <c r="V46" s="32"/>
      <c r="W46" s="32"/>
    </row>
    <row r="47" spans="1:23" x14ac:dyDescent="0.2">
      <c r="V47" s="161">
        <f>W45-V45</f>
        <v>-114</v>
      </c>
      <c r="W47" s="161"/>
    </row>
  </sheetData>
  <mergeCells count="2">
    <mergeCell ref="D2:U2"/>
    <mergeCell ref="V47:W47"/>
  </mergeCells>
  <pageMargins left="0.39370078740157483" right="0.39370078740157483" top="0.39370078740157483" bottom="0.39370078740157483" header="0.31496062992125984" footer="0.31496062992125984"/>
  <pageSetup orientation="landscape" r:id="rId1"/>
  <ignoredErrors>
    <ignoredError sqref="E8:G8 M11 E14 M14 E15:I16 E26:G26 E25 E24:G24 F22:I22 F23:I23 E21:G21 D22:E22 D21 J20:K20 D37:K37 D23:E23 J23:K23 J22:K22 D24 H24:K24 D25 H25:K25 D26 H26:K26 D39:I39 K39 G40 E10:G10 E20 D31:D36 E31:G32 E18:I18 E17 H17:I17 D38:I38 H20:I20 E28:G29 D28:D29 G9 E34:G36 E33 H34:K36 H33 J33 I21 H28:K32 H27 J27:K27 S36" twoDigitTextYear="1"/>
    <ignoredError sqref="V3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49"/>
  <sheetViews>
    <sheetView zoomScale="90" zoomScaleNormal="90" workbookViewId="0">
      <selection activeCell="A2" sqref="A2"/>
    </sheetView>
  </sheetViews>
  <sheetFormatPr baseColWidth="10" defaultRowHeight="12" x14ac:dyDescent="0.2"/>
  <cols>
    <col min="1" max="1" width="34.7109375" style="93" customWidth="1"/>
    <col min="2" max="2" width="10.85546875" style="99" customWidth="1"/>
    <col min="3" max="3" width="9.5703125" style="99" customWidth="1"/>
    <col min="4" max="4" width="10.7109375" style="93" customWidth="1"/>
    <col min="5" max="5" width="4.5703125" style="93" bestFit="1" customWidth="1"/>
    <col min="6" max="6" width="12.7109375" style="93" customWidth="1"/>
    <col min="7" max="7" width="4.5703125" style="93" bestFit="1" customWidth="1"/>
    <col min="8" max="8" width="13.7109375" style="93" customWidth="1"/>
    <col min="9" max="9" width="4.5703125" style="93" bestFit="1" customWidth="1"/>
    <col min="10" max="10" width="12.5703125" style="93" bestFit="1" customWidth="1"/>
    <col min="11" max="11" width="4.5703125" style="93" bestFit="1" customWidth="1"/>
    <col min="12" max="12" width="9.7109375" style="93" bestFit="1" customWidth="1"/>
    <col min="13" max="13" width="4.5703125" style="93" bestFit="1" customWidth="1"/>
    <col min="14" max="14" width="14.85546875" style="93" bestFit="1" customWidth="1"/>
    <col min="15" max="15" width="4.5703125" style="93" bestFit="1" customWidth="1"/>
    <col min="16" max="16" width="9.85546875" style="93" bestFit="1" customWidth="1"/>
    <col min="17" max="17" width="4.5703125" style="93" bestFit="1" customWidth="1"/>
    <col min="18" max="18" width="9" style="93" bestFit="1" customWidth="1"/>
    <col min="19" max="19" width="4.5703125" style="93" bestFit="1" customWidth="1"/>
    <col min="20" max="20" width="13.28515625" style="93" bestFit="1" customWidth="1"/>
    <col min="21" max="21" width="9.5703125" style="93" bestFit="1" customWidth="1"/>
    <col min="22" max="22" width="11.140625" style="93" bestFit="1" customWidth="1"/>
    <col min="23" max="16384" width="11.42578125" style="93"/>
  </cols>
  <sheetData>
    <row r="1" spans="1:22" s="74" customFormat="1" x14ac:dyDescent="0.2">
      <c r="A1" s="102"/>
      <c r="B1" s="69"/>
      <c r="C1" s="69"/>
      <c r="D1" s="70" t="s">
        <v>104</v>
      </c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2"/>
      <c r="V1" s="73"/>
    </row>
    <row r="2" spans="1:22" s="74" customFormat="1" x14ac:dyDescent="0.2">
      <c r="A2" s="104" t="s">
        <v>120</v>
      </c>
      <c r="B2" s="75"/>
      <c r="C2" s="75"/>
      <c r="D2" s="76" t="s">
        <v>105</v>
      </c>
      <c r="E2" s="162" t="s">
        <v>78</v>
      </c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77" t="s">
        <v>79</v>
      </c>
      <c r="V2" s="78" t="s">
        <v>83</v>
      </c>
    </row>
    <row r="3" spans="1:22" s="74" customFormat="1" x14ac:dyDescent="0.2">
      <c r="A3" s="79"/>
      <c r="B3" s="77" t="s">
        <v>81</v>
      </c>
      <c r="C3" s="77"/>
      <c r="D3" s="80"/>
      <c r="E3" s="80"/>
      <c r="F3" s="81"/>
      <c r="G3" s="80"/>
      <c r="H3" s="81"/>
      <c r="I3" s="80"/>
      <c r="J3" s="81"/>
      <c r="K3" s="80"/>
      <c r="L3" s="81"/>
      <c r="M3" s="80"/>
      <c r="N3" s="81"/>
      <c r="O3" s="80"/>
      <c r="P3" s="81"/>
      <c r="Q3" s="80"/>
      <c r="R3" s="81"/>
      <c r="S3" s="80"/>
      <c r="T3" s="81"/>
      <c r="U3" s="82" t="s">
        <v>80</v>
      </c>
      <c r="V3" s="83" t="s">
        <v>106</v>
      </c>
    </row>
    <row r="4" spans="1:22" s="74" customFormat="1" x14ac:dyDescent="0.2">
      <c r="A4" s="84"/>
      <c r="B4" s="85" t="s">
        <v>82</v>
      </c>
      <c r="C4" s="85">
        <v>2023</v>
      </c>
      <c r="D4" s="85">
        <v>2024</v>
      </c>
      <c r="E4" s="85" t="s">
        <v>83</v>
      </c>
      <c r="F4" s="86" t="s">
        <v>84</v>
      </c>
      <c r="G4" s="85" t="s">
        <v>83</v>
      </c>
      <c r="H4" s="86" t="s">
        <v>84</v>
      </c>
      <c r="I4" s="85" t="s">
        <v>83</v>
      </c>
      <c r="J4" s="86" t="s">
        <v>84</v>
      </c>
      <c r="K4" s="85" t="s">
        <v>83</v>
      </c>
      <c r="L4" s="86" t="s">
        <v>84</v>
      </c>
      <c r="M4" s="85" t="s">
        <v>83</v>
      </c>
      <c r="N4" s="86" t="s">
        <v>84</v>
      </c>
      <c r="O4" s="85" t="s">
        <v>83</v>
      </c>
      <c r="P4" s="86" t="s">
        <v>84</v>
      </c>
      <c r="Q4" s="85" t="s">
        <v>83</v>
      </c>
      <c r="R4" s="86" t="s">
        <v>84</v>
      </c>
      <c r="S4" s="85" t="s">
        <v>83</v>
      </c>
      <c r="T4" s="86" t="s">
        <v>84</v>
      </c>
      <c r="U4" s="87"/>
      <c r="V4" s="83" t="s">
        <v>122</v>
      </c>
    </row>
    <row r="5" spans="1:22" x14ac:dyDescent="0.2">
      <c r="A5" s="88" t="s">
        <v>0</v>
      </c>
      <c r="B5" s="89">
        <v>38598</v>
      </c>
      <c r="C5" s="101">
        <v>0</v>
      </c>
      <c r="D5" s="90">
        <v>26</v>
      </c>
      <c r="E5" s="90"/>
      <c r="F5" s="67" t="s">
        <v>148</v>
      </c>
      <c r="G5" s="90"/>
      <c r="H5" s="91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>
        <f>E5+G5+I5+K5+M5+O5+Q5+S5</f>
        <v>0</v>
      </c>
      <c r="V5" s="92">
        <f>C5+D5-U5</f>
        <v>26</v>
      </c>
    </row>
    <row r="6" spans="1:22" x14ac:dyDescent="0.2">
      <c r="A6" s="88" t="s">
        <v>1</v>
      </c>
      <c r="B6" s="89">
        <v>41276</v>
      </c>
      <c r="C6" s="101">
        <v>22</v>
      </c>
      <c r="D6" s="90">
        <v>24</v>
      </c>
      <c r="E6" s="90">
        <v>0.5</v>
      </c>
      <c r="F6" s="90" t="s">
        <v>42</v>
      </c>
      <c r="G6" s="90">
        <v>3</v>
      </c>
      <c r="H6" s="90" t="s">
        <v>43</v>
      </c>
      <c r="I6" s="90">
        <v>1.5</v>
      </c>
      <c r="J6" s="90" t="s">
        <v>168</v>
      </c>
      <c r="K6" s="90">
        <v>0.5</v>
      </c>
      <c r="L6" s="91">
        <v>45583</v>
      </c>
      <c r="M6" s="56">
        <v>16.5</v>
      </c>
      <c r="N6" s="56" t="s">
        <v>121</v>
      </c>
      <c r="O6" s="56">
        <v>2</v>
      </c>
      <c r="P6" s="57" t="s">
        <v>149</v>
      </c>
      <c r="Q6" s="56">
        <v>13</v>
      </c>
      <c r="R6" s="57">
        <v>45517</v>
      </c>
      <c r="S6" s="56">
        <v>3</v>
      </c>
      <c r="T6" s="57">
        <v>45605</v>
      </c>
      <c r="U6" s="90">
        <f t="shared" ref="U6:U46" si="0">E6+G6+I6+K6+M6+O6+Q6+S6</f>
        <v>40</v>
      </c>
      <c r="V6" s="92">
        <f>C6+D6-U6</f>
        <v>6</v>
      </c>
    </row>
    <row r="7" spans="1:22" x14ac:dyDescent="0.2">
      <c r="A7" s="88" t="s">
        <v>2</v>
      </c>
      <c r="B7" s="89">
        <v>42247</v>
      </c>
      <c r="C7" s="101">
        <v>22</v>
      </c>
      <c r="D7" s="90">
        <v>22</v>
      </c>
      <c r="E7" s="90">
        <v>1</v>
      </c>
      <c r="F7" s="91">
        <v>45180</v>
      </c>
      <c r="G7" s="90">
        <v>0.5</v>
      </c>
      <c r="H7" s="91">
        <v>45287</v>
      </c>
      <c r="I7" s="56">
        <v>5</v>
      </c>
      <c r="J7" s="56" t="s">
        <v>123</v>
      </c>
      <c r="K7" s="56">
        <v>1</v>
      </c>
      <c r="L7" s="57">
        <v>45419</v>
      </c>
      <c r="M7" s="56">
        <v>1</v>
      </c>
      <c r="N7" s="57">
        <v>45498</v>
      </c>
      <c r="O7" s="56">
        <v>9</v>
      </c>
      <c r="P7" s="57">
        <v>45558</v>
      </c>
      <c r="Q7" s="56">
        <v>1.5</v>
      </c>
      <c r="R7" s="57">
        <v>45618</v>
      </c>
      <c r="S7" s="56">
        <v>3</v>
      </c>
      <c r="T7" s="110" t="s">
        <v>171</v>
      </c>
      <c r="U7" s="90">
        <f t="shared" si="0"/>
        <v>22</v>
      </c>
      <c r="V7" s="92">
        <f t="shared" ref="V7:V46" si="1">C7+D7-U7</f>
        <v>22</v>
      </c>
    </row>
    <row r="8" spans="1:22" x14ac:dyDescent="0.2">
      <c r="A8" s="88" t="s">
        <v>3</v>
      </c>
      <c r="B8" s="89">
        <v>41730</v>
      </c>
      <c r="C8" s="101">
        <f>'2023'!W8</f>
        <v>0</v>
      </c>
      <c r="D8" s="90">
        <v>22</v>
      </c>
      <c r="E8" s="56">
        <v>1</v>
      </c>
      <c r="F8" s="57">
        <v>45383</v>
      </c>
      <c r="G8" s="56">
        <v>1</v>
      </c>
      <c r="H8" s="57">
        <v>45405</v>
      </c>
      <c r="I8" s="56">
        <v>1</v>
      </c>
      <c r="J8" s="57">
        <v>45467</v>
      </c>
      <c r="K8" s="56">
        <v>6</v>
      </c>
      <c r="L8" s="67" t="s">
        <v>144</v>
      </c>
      <c r="M8" s="56">
        <v>1</v>
      </c>
      <c r="N8" s="57">
        <v>45535</v>
      </c>
      <c r="O8" s="56">
        <v>12</v>
      </c>
      <c r="P8" s="57">
        <v>45640</v>
      </c>
      <c r="Q8" s="90"/>
      <c r="R8" s="90"/>
      <c r="S8" s="90"/>
      <c r="T8" s="90"/>
      <c r="U8" s="90">
        <f t="shared" si="0"/>
        <v>22</v>
      </c>
      <c r="V8" s="92">
        <f t="shared" si="1"/>
        <v>0</v>
      </c>
    </row>
    <row r="9" spans="1:22" x14ac:dyDescent="0.2">
      <c r="A9" s="88" t="s">
        <v>4</v>
      </c>
      <c r="B9" s="89">
        <v>42006</v>
      </c>
      <c r="C9" s="101">
        <v>22</v>
      </c>
      <c r="D9" s="90">
        <v>22</v>
      </c>
      <c r="E9" s="90">
        <v>1</v>
      </c>
      <c r="F9" s="91">
        <v>45136</v>
      </c>
      <c r="G9" s="90">
        <v>1.5</v>
      </c>
      <c r="H9" s="90" t="s">
        <v>112</v>
      </c>
      <c r="I9" s="56">
        <v>1</v>
      </c>
      <c r="J9" s="57">
        <v>45353</v>
      </c>
      <c r="K9" s="56">
        <v>0.5</v>
      </c>
      <c r="L9" s="57">
        <v>45387</v>
      </c>
      <c r="M9" s="56">
        <v>1</v>
      </c>
      <c r="N9" s="57">
        <v>45409</v>
      </c>
      <c r="O9" s="56">
        <v>0.5</v>
      </c>
      <c r="P9" s="57">
        <v>45464</v>
      </c>
      <c r="Q9" s="56">
        <v>1.5</v>
      </c>
      <c r="R9" s="56" t="s">
        <v>140</v>
      </c>
      <c r="S9" s="56">
        <v>7.5</v>
      </c>
      <c r="T9" s="57" t="s">
        <v>150</v>
      </c>
      <c r="U9" s="90">
        <f t="shared" si="0"/>
        <v>14.5</v>
      </c>
      <c r="V9" s="92">
        <f t="shared" si="1"/>
        <v>29.5</v>
      </c>
    </row>
    <row r="10" spans="1:22" x14ac:dyDescent="0.2">
      <c r="A10" s="88" t="s">
        <v>5</v>
      </c>
      <c r="B10" s="89">
        <v>42633</v>
      </c>
      <c r="C10" s="101">
        <v>22</v>
      </c>
      <c r="D10" s="90">
        <v>22</v>
      </c>
      <c r="E10" s="113">
        <v>18</v>
      </c>
      <c r="F10" s="113" t="s">
        <v>45</v>
      </c>
      <c r="G10" s="113">
        <v>2</v>
      </c>
      <c r="H10" s="113" t="s">
        <v>152</v>
      </c>
      <c r="I10" s="113">
        <v>0.5</v>
      </c>
      <c r="J10" s="116">
        <v>45647</v>
      </c>
      <c r="K10" s="107">
        <v>0.5</v>
      </c>
      <c r="L10" s="108">
        <v>45315</v>
      </c>
      <c r="M10" s="107">
        <v>0.5</v>
      </c>
      <c r="N10" s="108">
        <v>45317</v>
      </c>
      <c r="O10" s="107">
        <v>0.5</v>
      </c>
      <c r="P10" s="108">
        <v>45418</v>
      </c>
      <c r="Q10" s="56">
        <v>1</v>
      </c>
      <c r="R10" s="110" t="s">
        <v>141</v>
      </c>
      <c r="S10" s="56">
        <v>18</v>
      </c>
      <c r="T10" s="57">
        <v>45537</v>
      </c>
      <c r="U10" s="90">
        <f t="shared" si="0"/>
        <v>41</v>
      </c>
      <c r="V10" s="92">
        <f t="shared" si="1"/>
        <v>3</v>
      </c>
    </row>
    <row r="11" spans="1:22" x14ac:dyDescent="0.2">
      <c r="A11" s="88" t="s">
        <v>6</v>
      </c>
      <c r="B11" s="89">
        <v>44771</v>
      </c>
      <c r="C11" s="101">
        <f>'2023'!W11</f>
        <v>0</v>
      </c>
      <c r="D11" s="90">
        <v>14</v>
      </c>
      <c r="E11" s="56">
        <v>0.5</v>
      </c>
      <c r="F11" s="57">
        <v>45476</v>
      </c>
      <c r="G11" s="56">
        <v>6</v>
      </c>
      <c r="H11" s="57" t="s">
        <v>145</v>
      </c>
      <c r="I11" s="56">
        <v>0.5</v>
      </c>
      <c r="J11" s="57">
        <v>45589</v>
      </c>
      <c r="K11" s="56">
        <v>7</v>
      </c>
      <c r="L11" s="57">
        <v>45607</v>
      </c>
      <c r="M11" s="90"/>
      <c r="N11" s="90"/>
      <c r="O11" s="90"/>
      <c r="P11" s="90"/>
      <c r="Q11" s="90"/>
      <c r="R11" s="90"/>
      <c r="S11" s="90"/>
      <c r="T11" s="90"/>
      <c r="U11" s="90">
        <f t="shared" si="0"/>
        <v>14</v>
      </c>
      <c r="V11" s="92">
        <f t="shared" si="1"/>
        <v>0</v>
      </c>
    </row>
    <row r="12" spans="1:22" x14ac:dyDescent="0.2">
      <c r="A12" s="88" t="s">
        <v>7</v>
      </c>
      <c r="B12" s="89">
        <v>42646</v>
      </c>
      <c r="C12" s="101">
        <v>22</v>
      </c>
      <c r="D12" s="90">
        <v>22</v>
      </c>
      <c r="E12" s="90">
        <v>1</v>
      </c>
      <c r="F12" s="91">
        <v>45216</v>
      </c>
      <c r="G12" s="56">
        <v>1</v>
      </c>
      <c r="H12" s="57">
        <v>45426</v>
      </c>
      <c r="I12" s="56">
        <v>1</v>
      </c>
      <c r="J12" s="57">
        <v>45447</v>
      </c>
      <c r="K12" s="56">
        <v>1</v>
      </c>
      <c r="L12" s="57">
        <v>45538</v>
      </c>
      <c r="M12" s="56">
        <v>8</v>
      </c>
      <c r="N12" s="57">
        <v>45615</v>
      </c>
      <c r="O12" s="56">
        <v>10</v>
      </c>
      <c r="P12" s="56" t="s">
        <v>167</v>
      </c>
      <c r="Q12" s="56">
        <v>1</v>
      </c>
      <c r="R12" s="57">
        <v>45629</v>
      </c>
      <c r="S12" s="90"/>
      <c r="T12" s="90"/>
      <c r="U12" s="90">
        <f t="shared" si="0"/>
        <v>23</v>
      </c>
      <c r="V12" s="92">
        <f t="shared" si="1"/>
        <v>21</v>
      </c>
    </row>
    <row r="13" spans="1:22" x14ac:dyDescent="0.2">
      <c r="A13" s="88" t="s">
        <v>8</v>
      </c>
      <c r="B13" s="89">
        <v>43381</v>
      </c>
      <c r="C13" s="101">
        <f>'2023'!W13</f>
        <v>20</v>
      </c>
      <c r="D13" s="90">
        <v>22</v>
      </c>
      <c r="E13" s="56">
        <v>5</v>
      </c>
      <c r="F13" s="56" t="s">
        <v>134</v>
      </c>
      <c r="G13" s="56">
        <v>1</v>
      </c>
      <c r="H13" s="57">
        <v>45467</v>
      </c>
      <c r="I13" s="56">
        <v>7</v>
      </c>
      <c r="J13" s="56" t="s">
        <v>154</v>
      </c>
      <c r="K13" s="56">
        <v>7</v>
      </c>
      <c r="L13" s="57">
        <v>45580</v>
      </c>
      <c r="M13" s="56">
        <v>0.5</v>
      </c>
      <c r="N13" s="57">
        <v>45653</v>
      </c>
      <c r="O13" s="90"/>
      <c r="P13" s="90"/>
      <c r="Q13" s="90"/>
      <c r="R13" s="90"/>
      <c r="S13" s="90"/>
      <c r="T13" s="90"/>
      <c r="U13" s="90">
        <f t="shared" si="0"/>
        <v>20.5</v>
      </c>
      <c r="V13" s="92">
        <f t="shared" si="1"/>
        <v>21.5</v>
      </c>
    </row>
    <row r="14" spans="1:22" x14ac:dyDescent="0.2">
      <c r="A14" s="88" t="s">
        <v>9</v>
      </c>
      <c r="B14" s="89">
        <v>43850</v>
      </c>
      <c r="C14" s="101">
        <f>'2023'!W14</f>
        <v>0</v>
      </c>
      <c r="D14" s="90">
        <v>18</v>
      </c>
      <c r="E14" s="56">
        <v>6</v>
      </c>
      <c r="F14" s="56" t="s">
        <v>132</v>
      </c>
      <c r="G14" s="56">
        <v>1</v>
      </c>
      <c r="H14" s="57">
        <v>45453</v>
      </c>
      <c r="I14" s="56">
        <v>11</v>
      </c>
      <c r="J14" s="57">
        <v>45593</v>
      </c>
      <c r="K14" s="90"/>
      <c r="L14" s="91"/>
      <c r="M14" s="90"/>
      <c r="N14" s="91"/>
      <c r="O14" s="90"/>
      <c r="P14" s="91"/>
      <c r="Q14" s="91"/>
      <c r="R14" s="91"/>
      <c r="S14" s="90"/>
      <c r="T14" s="90"/>
      <c r="U14" s="90">
        <f t="shared" si="0"/>
        <v>18</v>
      </c>
      <c r="V14" s="92">
        <f t="shared" si="1"/>
        <v>0</v>
      </c>
    </row>
    <row r="15" spans="1:22" x14ac:dyDescent="0.2">
      <c r="A15" s="88" t="s">
        <v>10</v>
      </c>
      <c r="B15" s="89">
        <v>44690</v>
      </c>
      <c r="C15" s="101">
        <f>'2023'!W15</f>
        <v>0</v>
      </c>
      <c r="D15" s="90">
        <v>14</v>
      </c>
      <c r="E15" s="56">
        <v>1</v>
      </c>
      <c r="F15" s="57">
        <v>45306</v>
      </c>
      <c r="G15" s="56">
        <v>0.5</v>
      </c>
      <c r="H15" s="57">
        <v>45376</v>
      </c>
      <c r="I15" s="56">
        <v>1</v>
      </c>
      <c r="J15" s="57">
        <v>45428</v>
      </c>
      <c r="K15" s="56">
        <v>7</v>
      </c>
      <c r="L15" s="57">
        <v>45542</v>
      </c>
      <c r="M15" s="56">
        <v>0.5</v>
      </c>
      <c r="N15" s="57">
        <v>361.12</v>
      </c>
      <c r="O15" s="90"/>
      <c r="P15" s="91"/>
      <c r="Q15" s="90"/>
      <c r="R15" s="90"/>
      <c r="S15" s="90"/>
      <c r="T15" s="90"/>
      <c r="U15" s="90">
        <f t="shared" si="0"/>
        <v>10</v>
      </c>
      <c r="V15" s="92">
        <f t="shared" si="1"/>
        <v>4</v>
      </c>
    </row>
    <row r="16" spans="1:22" x14ac:dyDescent="0.2">
      <c r="A16" s="88" t="s">
        <v>11</v>
      </c>
      <c r="B16" s="89">
        <v>44669</v>
      </c>
      <c r="C16" s="101">
        <v>0</v>
      </c>
      <c r="D16" s="90">
        <v>14</v>
      </c>
      <c r="E16" s="56">
        <v>1</v>
      </c>
      <c r="F16" s="57">
        <v>45356</v>
      </c>
      <c r="G16" s="56">
        <v>1</v>
      </c>
      <c r="H16" s="57">
        <v>45409</v>
      </c>
      <c r="I16" s="56">
        <v>1</v>
      </c>
      <c r="J16" s="57">
        <v>45429</v>
      </c>
      <c r="K16" s="56">
        <v>4</v>
      </c>
      <c r="L16" s="57" t="s">
        <v>139</v>
      </c>
      <c r="M16" s="56">
        <v>3</v>
      </c>
      <c r="N16" s="56" t="s">
        <v>156</v>
      </c>
      <c r="O16" s="56">
        <v>1</v>
      </c>
      <c r="P16" s="57">
        <v>45535</v>
      </c>
      <c r="Q16" s="56">
        <v>1</v>
      </c>
      <c r="R16" s="57">
        <v>45561</v>
      </c>
      <c r="S16" s="56">
        <v>1</v>
      </c>
      <c r="T16" s="57">
        <v>45591</v>
      </c>
      <c r="U16" s="90">
        <f t="shared" si="0"/>
        <v>13</v>
      </c>
      <c r="V16" s="92">
        <f t="shared" si="1"/>
        <v>1</v>
      </c>
    </row>
    <row r="17" spans="1:22" x14ac:dyDescent="0.2">
      <c r="A17" s="88" t="s">
        <v>157</v>
      </c>
      <c r="B17" s="89">
        <v>45463</v>
      </c>
      <c r="C17" s="101"/>
      <c r="D17" s="90">
        <v>12</v>
      </c>
      <c r="E17" s="90"/>
      <c r="F17" s="90"/>
      <c r="G17" s="90"/>
      <c r="H17" s="91"/>
      <c r="I17" s="56"/>
      <c r="J17" s="57"/>
      <c r="K17" s="56"/>
      <c r="L17" s="57"/>
      <c r="M17" s="56"/>
      <c r="N17" s="57"/>
      <c r="O17" s="90"/>
      <c r="P17" s="90"/>
      <c r="Q17" s="90"/>
      <c r="R17" s="90"/>
      <c r="S17" s="90"/>
      <c r="T17" s="90"/>
      <c r="U17" s="90">
        <f t="shared" si="0"/>
        <v>0</v>
      </c>
      <c r="V17" s="92">
        <f t="shared" si="1"/>
        <v>12</v>
      </c>
    </row>
    <row r="18" spans="1:22" x14ac:dyDescent="0.2">
      <c r="A18" s="88" t="s">
        <v>158</v>
      </c>
      <c r="B18" s="89">
        <v>45467</v>
      </c>
      <c r="C18" s="101"/>
      <c r="D18" s="90">
        <v>12</v>
      </c>
      <c r="E18" s="56">
        <v>1</v>
      </c>
      <c r="F18" s="57">
        <v>45596</v>
      </c>
      <c r="G18" s="56">
        <v>1</v>
      </c>
      <c r="H18" s="57">
        <v>45597</v>
      </c>
      <c r="I18" s="56">
        <v>1</v>
      </c>
      <c r="J18" s="57">
        <v>45598</v>
      </c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>
        <f t="shared" si="0"/>
        <v>3</v>
      </c>
      <c r="V18" s="92">
        <f t="shared" si="1"/>
        <v>9</v>
      </c>
    </row>
    <row r="19" spans="1:22" x14ac:dyDescent="0.2">
      <c r="A19" s="88" t="s">
        <v>14</v>
      </c>
      <c r="B19" s="89">
        <v>44700</v>
      </c>
      <c r="C19" s="101">
        <f>'2023'!W19</f>
        <v>0</v>
      </c>
      <c r="D19" s="90">
        <v>14</v>
      </c>
      <c r="E19" s="56">
        <v>1</v>
      </c>
      <c r="F19" s="57">
        <v>45463</v>
      </c>
      <c r="G19" s="56">
        <v>1</v>
      </c>
      <c r="H19" s="57">
        <v>45490</v>
      </c>
      <c r="I19" s="56">
        <v>1</v>
      </c>
      <c r="J19" s="57">
        <v>45544</v>
      </c>
      <c r="K19" s="56">
        <v>1</v>
      </c>
      <c r="L19" s="57">
        <v>45559</v>
      </c>
      <c r="M19" s="56">
        <v>1</v>
      </c>
      <c r="N19" s="57">
        <v>45569</v>
      </c>
      <c r="O19" s="56">
        <v>1</v>
      </c>
      <c r="P19" s="57">
        <v>45632</v>
      </c>
      <c r="Q19" s="112">
        <v>1</v>
      </c>
      <c r="R19" s="111">
        <v>45664</v>
      </c>
      <c r="S19" s="90"/>
      <c r="T19" s="90"/>
      <c r="U19" s="90">
        <f t="shared" si="0"/>
        <v>7</v>
      </c>
      <c r="V19" s="92">
        <f t="shared" si="1"/>
        <v>7</v>
      </c>
    </row>
    <row r="20" spans="1:22" x14ac:dyDescent="0.2">
      <c r="A20" s="88" t="s">
        <v>15</v>
      </c>
      <c r="B20" s="89">
        <v>44805</v>
      </c>
      <c r="C20" s="101">
        <v>12</v>
      </c>
      <c r="D20" s="90">
        <v>14</v>
      </c>
      <c r="E20" s="90">
        <v>2</v>
      </c>
      <c r="F20" s="90" t="s">
        <v>100</v>
      </c>
      <c r="G20" s="90">
        <v>1</v>
      </c>
      <c r="H20" s="91">
        <v>45278</v>
      </c>
      <c r="I20" s="56">
        <v>1</v>
      </c>
      <c r="J20" s="57">
        <v>45330</v>
      </c>
      <c r="K20" s="56">
        <v>1</v>
      </c>
      <c r="L20" s="57">
        <v>45412</v>
      </c>
      <c r="M20" s="56">
        <v>2</v>
      </c>
      <c r="N20" s="57" t="s">
        <v>160</v>
      </c>
      <c r="O20" s="56">
        <v>5</v>
      </c>
      <c r="P20" s="57">
        <v>45442</v>
      </c>
      <c r="Q20" s="56">
        <v>1</v>
      </c>
      <c r="R20" s="57">
        <v>45579</v>
      </c>
      <c r="S20" s="56">
        <v>13</v>
      </c>
      <c r="T20" s="57" t="s">
        <v>161</v>
      </c>
      <c r="U20" s="90">
        <f t="shared" si="0"/>
        <v>26</v>
      </c>
      <c r="V20" s="92">
        <f t="shared" si="1"/>
        <v>0</v>
      </c>
    </row>
    <row r="21" spans="1:22" x14ac:dyDescent="0.2">
      <c r="A21" s="88" t="s">
        <v>159</v>
      </c>
      <c r="B21" s="89"/>
      <c r="C21" s="101"/>
      <c r="D21" s="90"/>
      <c r="E21" s="56"/>
      <c r="F21" s="57"/>
      <c r="G21" s="56"/>
      <c r="H21" s="57"/>
      <c r="I21" s="56"/>
      <c r="J21" s="57"/>
      <c r="K21" s="90"/>
      <c r="L21" s="94"/>
      <c r="M21" s="90"/>
      <c r="N21" s="90"/>
      <c r="O21" s="90"/>
      <c r="P21" s="90"/>
      <c r="Q21" s="90"/>
      <c r="R21" s="90"/>
      <c r="S21" s="90"/>
      <c r="T21" s="90"/>
      <c r="U21" s="90">
        <f t="shared" si="0"/>
        <v>0</v>
      </c>
      <c r="V21" s="92">
        <f t="shared" si="1"/>
        <v>0</v>
      </c>
    </row>
    <row r="22" spans="1:22" x14ac:dyDescent="0.2">
      <c r="A22" s="88" t="s">
        <v>17</v>
      </c>
      <c r="B22" s="89">
        <v>43913</v>
      </c>
      <c r="C22" s="101">
        <f>'2023'!W22</f>
        <v>0</v>
      </c>
      <c r="D22" s="90">
        <v>18</v>
      </c>
      <c r="E22" s="56">
        <v>4</v>
      </c>
      <c r="F22" s="56" t="s">
        <v>130</v>
      </c>
      <c r="G22" s="90"/>
      <c r="H22" s="56" t="s">
        <v>133</v>
      </c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>
        <f t="shared" si="0"/>
        <v>4</v>
      </c>
      <c r="V22" s="92">
        <f t="shared" si="1"/>
        <v>14</v>
      </c>
    </row>
    <row r="23" spans="1:22" x14ac:dyDescent="0.2">
      <c r="A23" s="88" t="s">
        <v>18</v>
      </c>
      <c r="B23" s="89">
        <v>44578</v>
      </c>
      <c r="C23" s="101">
        <f>'2023'!W23</f>
        <v>0</v>
      </c>
      <c r="D23" s="90">
        <v>14</v>
      </c>
      <c r="E23" s="56">
        <v>14</v>
      </c>
      <c r="F23" s="67" t="s">
        <v>124</v>
      </c>
      <c r="G23" s="56"/>
      <c r="H23" s="56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>
        <f t="shared" si="0"/>
        <v>14</v>
      </c>
      <c r="V23" s="92">
        <f t="shared" si="1"/>
        <v>0</v>
      </c>
    </row>
    <row r="24" spans="1:22" x14ac:dyDescent="0.2">
      <c r="A24" s="88" t="s">
        <v>19</v>
      </c>
      <c r="B24" s="89">
        <v>44277</v>
      </c>
      <c r="C24" s="101">
        <f>'2023'!W24</f>
        <v>0</v>
      </c>
      <c r="D24" s="90">
        <v>16</v>
      </c>
      <c r="E24" s="56">
        <v>1</v>
      </c>
      <c r="F24" s="57">
        <v>45308</v>
      </c>
      <c r="G24" s="56">
        <v>1</v>
      </c>
      <c r="H24" s="57">
        <v>45316</v>
      </c>
      <c r="I24" s="56">
        <v>1</v>
      </c>
      <c r="J24" s="57">
        <v>45381</v>
      </c>
      <c r="K24" s="56">
        <v>2</v>
      </c>
      <c r="L24" s="56" t="s">
        <v>135</v>
      </c>
      <c r="M24" s="56">
        <v>1</v>
      </c>
      <c r="N24" s="57">
        <v>45458</v>
      </c>
      <c r="O24" s="56">
        <v>7</v>
      </c>
      <c r="P24" s="67" t="s">
        <v>143</v>
      </c>
      <c r="Q24" s="56">
        <v>1</v>
      </c>
      <c r="R24" s="57">
        <v>45570</v>
      </c>
      <c r="S24" s="56">
        <v>1</v>
      </c>
      <c r="T24" s="57">
        <v>45629</v>
      </c>
      <c r="U24" s="90">
        <f t="shared" si="0"/>
        <v>15</v>
      </c>
      <c r="V24" s="92">
        <f t="shared" si="1"/>
        <v>1</v>
      </c>
    </row>
    <row r="25" spans="1:22" x14ac:dyDescent="0.2">
      <c r="A25" s="88" t="s">
        <v>20</v>
      </c>
      <c r="B25" s="89">
        <v>44279</v>
      </c>
      <c r="C25" s="101">
        <f>'2023'!W25</f>
        <v>0</v>
      </c>
      <c r="D25" s="90">
        <v>16</v>
      </c>
      <c r="E25" s="56">
        <v>12</v>
      </c>
      <c r="F25" s="56" t="s">
        <v>146</v>
      </c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>
        <f t="shared" si="0"/>
        <v>12</v>
      </c>
      <c r="V25" s="92">
        <f t="shared" si="1"/>
        <v>4</v>
      </c>
    </row>
    <row r="26" spans="1:22" x14ac:dyDescent="0.2">
      <c r="A26" s="88" t="s">
        <v>21</v>
      </c>
      <c r="B26" s="89">
        <v>44293</v>
      </c>
      <c r="C26" s="101">
        <f>'2023'!W26</f>
        <v>0</v>
      </c>
      <c r="D26" s="90">
        <v>16</v>
      </c>
      <c r="E26" s="56">
        <v>2</v>
      </c>
      <c r="F26" s="57" t="s">
        <v>136</v>
      </c>
      <c r="G26" s="56">
        <v>3</v>
      </c>
      <c r="H26" s="57" t="s">
        <v>137</v>
      </c>
      <c r="I26" s="56">
        <v>3</v>
      </c>
      <c r="J26" s="57" t="s">
        <v>138</v>
      </c>
      <c r="K26" s="56">
        <v>1</v>
      </c>
      <c r="L26" s="57">
        <v>45454</v>
      </c>
      <c r="M26" s="56">
        <v>3</v>
      </c>
      <c r="N26" s="57">
        <v>45513</v>
      </c>
      <c r="O26" s="56">
        <v>1</v>
      </c>
      <c r="P26" s="57">
        <v>45583</v>
      </c>
      <c r="Q26" s="56">
        <v>0.5</v>
      </c>
      <c r="R26" s="57">
        <v>45615</v>
      </c>
      <c r="S26" s="112">
        <v>1</v>
      </c>
      <c r="T26" s="111">
        <v>45664</v>
      </c>
      <c r="U26" s="90">
        <f t="shared" si="0"/>
        <v>14.5</v>
      </c>
      <c r="V26" s="92">
        <f t="shared" si="1"/>
        <v>1.5</v>
      </c>
    </row>
    <row r="27" spans="1:22" x14ac:dyDescent="0.2">
      <c r="A27" s="88" t="s">
        <v>22</v>
      </c>
      <c r="B27" s="89">
        <v>44908</v>
      </c>
      <c r="C27" s="101">
        <v>12</v>
      </c>
      <c r="D27" s="90"/>
      <c r="E27" s="90">
        <v>1</v>
      </c>
      <c r="F27" s="91">
        <v>45653</v>
      </c>
      <c r="G27" s="56">
        <v>2</v>
      </c>
      <c r="H27" s="56" t="s">
        <v>116</v>
      </c>
      <c r="I27" s="56">
        <v>2</v>
      </c>
      <c r="J27" s="56" t="s">
        <v>127</v>
      </c>
      <c r="K27" s="56">
        <v>1</v>
      </c>
      <c r="L27" s="57">
        <v>45352</v>
      </c>
      <c r="M27" s="90"/>
      <c r="N27" s="90"/>
      <c r="O27" s="90"/>
      <c r="P27" s="90"/>
      <c r="Q27" s="90"/>
      <c r="R27" s="90"/>
      <c r="S27" s="90"/>
      <c r="T27" s="90"/>
      <c r="U27" s="90">
        <f t="shared" si="0"/>
        <v>6</v>
      </c>
      <c r="V27" s="92">
        <f t="shared" si="1"/>
        <v>6</v>
      </c>
    </row>
    <row r="28" spans="1:22" x14ac:dyDescent="0.2">
      <c r="A28" s="88" t="s">
        <v>23</v>
      </c>
      <c r="B28" s="89">
        <v>44805</v>
      </c>
      <c r="C28" s="101">
        <f>'2023'!W28</f>
        <v>0</v>
      </c>
      <c r="D28" s="90">
        <v>14</v>
      </c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>
        <f t="shared" si="0"/>
        <v>0</v>
      </c>
      <c r="V28" s="92">
        <f t="shared" si="1"/>
        <v>14</v>
      </c>
    </row>
    <row r="29" spans="1:22" x14ac:dyDescent="0.2">
      <c r="A29" s="88" t="s">
        <v>24</v>
      </c>
      <c r="B29" s="89">
        <v>44805</v>
      </c>
      <c r="C29" s="101">
        <f>'2023'!W29</f>
        <v>12</v>
      </c>
      <c r="D29" s="90">
        <v>14</v>
      </c>
      <c r="E29" s="56">
        <v>5</v>
      </c>
      <c r="F29" s="56" t="s">
        <v>125</v>
      </c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>
        <f t="shared" si="0"/>
        <v>5</v>
      </c>
      <c r="V29" s="92">
        <f t="shared" si="1"/>
        <v>21</v>
      </c>
    </row>
    <row r="30" spans="1:22" x14ac:dyDescent="0.2">
      <c r="A30" s="88" t="s">
        <v>25</v>
      </c>
      <c r="B30" s="89">
        <v>44866</v>
      </c>
      <c r="C30" s="101">
        <v>12</v>
      </c>
      <c r="D30" s="90"/>
      <c r="E30" s="90">
        <v>3</v>
      </c>
      <c r="F30" s="90" t="s">
        <v>102</v>
      </c>
      <c r="G30" s="90">
        <v>1</v>
      </c>
      <c r="H30" s="91">
        <v>45271</v>
      </c>
      <c r="I30" s="56">
        <v>2</v>
      </c>
      <c r="J30" s="57" t="s">
        <v>128</v>
      </c>
      <c r="K30" s="56">
        <v>1</v>
      </c>
      <c r="L30" s="57">
        <v>45418</v>
      </c>
      <c r="M30" s="56">
        <v>1</v>
      </c>
      <c r="N30" s="57">
        <v>45482</v>
      </c>
      <c r="O30" s="56">
        <v>1</v>
      </c>
      <c r="P30" s="57">
        <v>45640</v>
      </c>
      <c r="Q30" s="90"/>
      <c r="R30" s="90"/>
      <c r="S30" s="90"/>
      <c r="T30" s="90"/>
      <c r="U30" s="90">
        <f t="shared" si="0"/>
        <v>9</v>
      </c>
      <c r="V30" s="92">
        <f t="shared" si="1"/>
        <v>3</v>
      </c>
    </row>
    <row r="31" spans="1:22" x14ac:dyDescent="0.2">
      <c r="A31" s="88" t="s">
        <v>27</v>
      </c>
      <c r="B31" s="89">
        <v>45185</v>
      </c>
      <c r="C31" s="101">
        <f>'2023'!W32</f>
        <v>0</v>
      </c>
      <c r="D31" s="90">
        <v>12</v>
      </c>
      <c r="E31" s="56">
        <v>1</v>
      </c>
      <c r="F31" s="57">
        <v>45535</v>
      </c>
      <c r="G31" s="56">
        <v>1</v>
      </c>
      <c r="H31" s="57">
        <v>45577</v>
      </c>
      <c r="I31" s="56">
        <v>1</v>
      </c>
      <c r="J31" s="57">
        <v>45626</v>
      </c>
      <c r="K31" s="56">
        <v>1</v>
      </c>
      <c r="L31" s="57">
        <v>45645</v>
      </c>
      <c r="M31" s="90"/>
      <c r="N31" s="90"/>
      <c r="O31" s="90"/>
      <c r="P31" s="90"/>
      <c r="Q31" s="90"/>
      <c r="R31" s="90"/>
      <c r="S31" s="90"/>
      <c r="T31" s="90"/>
      <c r="U31" s="90">
        <f t="shared" si="0"/>
        <v>4</v>
      </c>
      <c r="V31" s="92">
        <f t="shared" si="1"/>
        <v>8</v>
      </c>
    </row>
    <row r="32" spans="1:22" x14ac:dyDescent="0.2">
      <c r="A32" s="88" t="s">
        <v>117</v>
      </c>
      <c r="B32" s="89">
        <v>45231</v>
      </c>
      <c r="C32" s="101"/>
      <c r="D32" s="90">
        <v>12</v>
      </c>
      <c r="E32" s="56">
        <v>1</v>
      </c>
      <c r="F32" s="57">
        <v>45554</v>
      </c>
      <c r="G32" s="56">
        <v>1</v>
      </c>
      <c r="H32" s="57">
        <v>45653</v>
      </c>
      <c r="I32" s="56">
        <v>2</v>
      </c>
      <c r="J32" s="56" t="s">
        <v>172</v>
      </c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>
        <f t="shared" si="0"/>
        <v>4</v>
      </c>
      <c r="V32" s="92">
        <f t="shared" si="1"/>
        <v>8</v>
      </c>
    </row>
    <row r="33" spans="1:22" x14ac:dyDescent="0.2">
      <c r="A33" s="88" t="s">
        <v>163</v>
      </c>
      <c r="B33" s="89">
        <v>45451</v>
      </c>
      <c r="C33" s="101"/>
      <c r="D33" s="90"/>
      <c r="E33" s="56"/>
      <c r="F33" s="57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2"/>
    </row>
    <row r="34" spans="1:22" x14ac:dyDescent="0.2">
      <c r="A34" s="88" t="s">
        <v>164</v>
      </c>
      <c r="B34" s="89">
        <v>45593</v>
      </c>
      <c r="C34" s="101"/>
      <c r="D34" s="90"/>
      <c r="E34" s="56"/>
      <c r="F34" s="57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2"/>
    </row>
    <row r="35" spans="1:22" x14ac:dyDescent="0.2">
      <c r="A35" s="88" t="s">
        <v>28</v>
      </c>
      <c r="B35" s="89">
        <v>42627</v>
      </c>
      <c r="C35" s="101">
        <f>'2023'!W33</f>
        <v>22</v>
      </c>
      <c r="D35" s="90">
        <v>22</v>
      </c>
      <c r="E35" s="90"/>
      <c r="F35" s="91"/>
      <c r="G35" s="56">
        <v>6</v>
      </c>
      <c r="H35" s="56" t="s">
        <v>144</v>
      </c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>
        <f t="shared" si="0"/>
        <v>6</v>
      </c>
      <c r="V35" s="92">
        <f t="shared" si="1"/>
        <v>38</v>
      </c>
    </row>
    <row r="36" spans="1:22" x14ac:dyDescent="0.2">
      <c r="A36" s="88" t="s">
        <v>29</v>
      </c>
      <c r="B36" s="89">
        <v>44957</v>
      </c>
      <c r="C36" s="101"/>
      <c r="D36" s="90">
        <v>12</v>
      </c>
      <c r="E36" s="56">
        <v>6</v>
      </c>
      <c r="F36" s="57">
        <v>45523</v>
      </c>
      <c r="G36" s="56"/>
      <c r="H36" s="67" t="s">
        <v>151</v>
      </c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>
        <f t="shared" si="0"/>
        <v>6</v>
      </c>
      <c r="V36" s="92">
        <f t="shared" si="1"/>
        <v>6</v>
      </c>
    </row>
    <row r="37" spans="1:22" x14ac:dyDescent="0.2">
      <c r="A37" s="88" t="s">
        <v>165</v>
      </c>
      <c r="B37" s="89">
        <v>45549</v>
      </c>
      <c r="C37" s="101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>
        <f t="shared" si="0"/>
        <v>0</v>
      </c>
      <c r="V37" s="92">
        <f t="shared" si="1"/>
        <v>0</v>
      </c>
    </row>
    <row r="38" spans="1:22" x14ac:dyDescent="0.2">
      <c r="A38" s="88" t="s">
        <v>31</v>
      </c>
      <c r="B38" s="89">
        <v>44608</v>
      </c>
      <c r="C38" s="101">
        <f>12-12</f>
        <v>0</v>
      </c>
      <c r="D38" s="90">
        <v>14</v>
      </c>
      <c r="E38" s="56">
        <v>1</v>
      </c>
      <c r="F38" s="57">
        <v>45344</v>
      </c>
      <c r="G38" s="56">
        <v>2</v>
      </c>
      <c r="H38" s="57" t="s">
        <v>162</v>
      </c>
      <c r="I38" s="56">
        <v>2</v>
      </c>
      <c r="J38" s="57">
        <v>45399</v>
      </c>
      <c r="K38" s="56">
        <v>1</v>
      </c>
      <c r="L38" s="57">
        <v>45419</v>
      </c>
      <c r="M38" s="56">
        <v>1</v>
      </c>
      <c r="N38" s="57">
        <v>45475</v>
      </c>
      <c r="O38" s="56">
        <v>3</v>
      </c>
      <c r="P38" s="57">
        <v>45530</v>
      </c>
      <c r="Q38" s="56">
        <v>1</v>
      </c>
      <c r="R38" s="106">
        <v>45583</v>
      </c>
      <c r="S38" s="56">
        <v>1</v>
      </c>
      <c r="T38" s="57">
        <v>45609</v>
      </c>
      <c r="U38" s="90">
        <f t="shared" si="0"/>
        <v>12</v>
      </c>
      <c r="V38" s="92">
        <f t="shared" si="1"/>
        <v>2</v>
      </c>
    </row>
    <row r="39" spans="1:22" x14ac:dyDescent="0.2">
      <c r="A39" s="88" t="s">
        <v>32</v>
      </c>
      <c r="B39" s="89">
        <v>43612</v>
      </c>
      <c r="C39" s="101">
        <f>'2023'!W37</f>
        <v>0</v>
      </c>
      <c r="D39" s="90">
        <v>20</v>
      </c>
      <c r="E39" s="56">
        <v>1</v>
      </c>
      <c r="F39" s="57">
        <v>45355</v>
      </c>
      <c r="G39" s="56">
        <v>0.5</v>
      </c>
      <c r="H39" s="57">
        <v>45372</v>
      </c>
      <c r="I39" s="56">
        <v>1</v>
      </c>
      <c r="J39" s="57">
        <v>45402</v>
      </c>
      <c r="K39" s="56">
        <v>1</v>
      </c>
      <c r="L39" s="57">
        <v>45455</v>
      </c>
      <c r="M39" s="56">
        <v>8</v>
      </c>
      <c r="N39" s="57" t="s">
        <v>142</v>
      </c>
      <c r="O39" s="56">
        <v>3</v>
      </c>
      <c r="P39" s="57">
        <v>45526</v>
      </c>
      <c r="Q39" s="56">
        <v>2</v>
      </c>
      <c r="R39" s="57" t="s">
        <v>169</v>
      </c>
      <c r="S39" s="56">
        <v>0.5</v>
      </c>
      <c r="T39" s="57">
        <v>45617</v>
      </c>
      <c r="U39" s="90">
        <f t="shared" si="0"/>
        <v>17</v>
      </c>
      <c r="V39" s="92">
        <f t="shared" si="1"/>
        <v>3</v>
      </c>
    </row>
    <row r="40" spans="1:22" x14ac:dyDescent="0.2">
      <c r="A40" s="88" t="s">
        <v>33</v>
      </c>
      <c r="B40" s="89">
        <v>43481</v>
      </c>
      <c r="C40" s="101">
        <f>'2023'!W38</f>
        <v>0</v>
      </c>
      <c r="D40" s="90">
        <v>20</v>
      </c>
      <c r="E40" s="56">
        <v>0.5</v>
      </c>
      <c r="F40" s="57">
        <v>45352</v>
      </c>
      <c r="G40" s="56">
        <v>0.5</v>
      </c>
      <c r="H40" s="57">
        <v>45447</v>
      </c>
      <c r="I40" s="56">
        <v>0.5</v>
      </c>
      <c r="J40" s="57">
        <v>45448</v>
      </c>
      <c r="K40" s="56">
        <v>0.5</v>
      </c>
      <c r="L40" s="57">
        <v>45474</v>
      </c>
      <c r="M40" s="56">
        <v>15</v>
      </c>
      <c r="N40" s="56" t="s">
        <v>147</v>
      </c>
      <c r="O40" s="56">
        <v>2</v>
      </c>
      <c r="P40" s="57">
        <v>45615</v>
      </c>
      <c r="Q40" s="90"/>
      <c r="R40" s="90"/>
      <c r="S40" s="90"/>
      <c r="T40" s="90"/>
      <c r="U40" s="90">
        <f t="shared" si="0"/>
        <v>19</v>
      </c>
      <c r="V40" s="92">
        <f t="shared" si="1"/>
        <v>1</v>
      </c>
    </row>
    <row r="41" spans="1:22" x14ac:dyDescent="0.2">
      <c r="A41" s="88" t="s">
        <v>37</v>
      </c>
      <c r="B41" s="89">
        <v>44927</v>
      </c>
      <c r="C41" s="101">
        <v>12</v>
      </c>
      <c r="D41" s="90"/>
      <c r="E41" s="90">
        <v>2</v>
      </c>
      <c r="F41" s="91" t="s">
        <v>170</v>
      </c>
      <c r="G41" s="90">
        <v>1</v>
      </c>
      <c r="H41" s="91">
        <v>45522</v>
      </c>
      <c r="I41" s="56">
        <v>1</v>
      </c>
      <c r="J41" s="57">
        <v>45303</v>
      </c>
      <c r="K41" s="56">
        <v>3</v>
      </c>
      <c r="L41" s="56" t="s">
        <v>129</v>
      </c>
      <c r="M41" s="56">
        <v>1</v>
      </c>
      <c r="N41" s="57">
        <v>45373</v>
      </c>
      <c r="O41" s="56">
        <v>1.5</v>
      </c>
      <c r="P41" s="57" t="s">
        <v>153</v>
      </c>
      <c r="Q41" s="56">
        <v>2</v>
      </c>
      <c r="R41" s="57" t="s">
        <v>155</v>
      </c>
      <c r="S41" s="56">
        <v>0.5</v>
      </c>
      <c r="T41" s="57">
        <v>45607</v>
      </c>
      <c r="U41" s="90">
        <f t="shared" si="0"/>
        <v>12</v>
      </c>
      <c r="V41" s="92">
        <f t="shared" si="1"/>
        <v>0</v>
      </c>
    </row>
    <row r="42" spans="1:22" x14ac:dyDescent="0.2">
      <c r="A42" s="88" t="s">
        <v>118</v>
      </c>
      <c r="B42" s="89">
        <v>45279</v>
      </c>
      <c r="C42" s="101"/>
      <c r="D42" s="90">
        <v>12</v>
      </c>
      <c r="E42" s="56">
        <v>1</v>
      </c>
      <c r="F42" s="57">
        <v>45455</v>
      </c>
      <c r="G42" s="56">
        <v>1</v>
      </c>
      <c r="H42" s="57">
        <v>45530</v>
      </c>
      <c r="I42" s="56">
        <v>1</v>
      </c>
      <c r="J42" s="57">
        <v>45595</v>
      </c>
      <c r="K42" s="90"/>
      <c r="L42" s="91"/>
      <c r="M42" s="90"/>
      <c r="N42" s="90"/>
      <c r="O42" s="90"/>
      <c r="P42" s="90"/>
      <c r="Q42" s="90"/>
      <c r="R42" s="90"/>
      <c r="S42" s="90"/>
      <c r="T42" s="90"/>
      <c r="U42" s="90">
        <f t="shared" si="0"/>
        <v>3</v>
      </c>
      <c r="V42" s="92">
        <f t="shared" si="1"/>
        <v>9</v>
      </c>
    </row>
    <row r="43" spans="1:22" x14ac:dyDescent="0.2">
      <c r="A43" s="88" t="s">
        <v>119</v>
      </c>
      <c r="B43" s="89">
        <v>45287</v>
      </c>
      <c r="C43" s="101"/>
      <c r="D43" s="90">
        <v>12</v>
      </c>
      <c r="E43" s="90"/>
      <c r="F43" s="91"/>
      <c r="G43" s="90"/>
      <c r="H43" s="91"/>
      <c r="I43" s="90"/>
      <c r="J43" s="91"/>
      <c r="K43" s="90"/>
      <c r="L43" s="91"/>
      <c r="M43" s="90"/>
      <c r="N43" s="90"/>
      <c r="O43" s="90"/>
      <c r="P43" s="90"/>
      <c r="Q43" s="90"/>
      <c r="R43" s="90"/>
      <c r="S43" s="90"/>
      <c r="T43" s="90"/>
      <c r="U43" s="90">
        <f t="shared" si="0"/>
        <v>0</v>
      </c>
      <c r="V43" s="92">
        <f t="shared" si="1"/>
        <v>12</v>
      </c>
    </row>
    <row r="44" spans="1:22" x14ac:dyDescent="0.2">
      <c r="A44" s="88" t="s">
        <v>166</v>
      </c>
      <c r="B44" s="89">
        <v>45446</v>
      </c>
      <c r="C44" s="101"/>
      <c r="D44" s="90"/>
      <c r="E44" s="90"/>
      <c r="F44" s="91"/>
      <c r="G44" s="90"/>
      <c r="H44" s="91"/>
      <c r="I44" s="90"/>
      <c r="J44" s="91"/>
      <c r="K44" s="90"/>
      <c r="L44" s="91"/>
      <c r="M44" s="90"/>
      <c r="N44" s="90"/>
      <c r="O44" s="90"/>
      <c r="P44" s="90"/>
      <c r="Q44" s="90"/>
      <c r="R44" s="90"/>
      <c r="S44" s="90"/>
      <c r="T44" s="90"/>
      <c r="U44" s="90"/>
      <c r="V44" s="92"/>
    </row>
    <row r="45" spans="1:22" x14ac:dyDescent="0.2">
      <c r="A45" s="88" t="s">
        <v>38</v>
      </c>
      <c r="B45" s="89">
        <v>44099</v>
      </c>
      <c r="C45" s="101">
        <f>'2023'!W43</f>
        <v>16</v>
      </c>
      <c r="D45" s="90">
        <v>18</v>
      </c>
      <c r="E45" s="56">
        <v>12</v>
      </c>
      <c r="F45" s="57">
        <v>45520</v>
      </c>
      <c r="G45" s="56"/>
      <c r="H45" s="67" t="s">
        <v>151</v>
      </c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>
        <f t="shared" si="0"/>
        <v>12</v>
      </c>
      <c r="V45" s="92">
        <f t="shared" si="1"/>
        <v>22</v>
      </c>
    </row>
    <row r="46" spans="1:22" ht="12.75" thickBot="1" x14ac:dyDescent="0.25">
      <c r="A46" s="95" t="s">
        <v>39</v>
      </c>
      <c r="B46" s="96">
        <v>44970</v>
      </c>
      <c r="C46" s="103">
        <f>'2023'!W44</f>
        <v>12</v>
      </c>
      <c r="D46" s="97">
        <v>12</v>
      </c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>
        <f t="shared" si="0"/>
        <v>0</v>
      </c>
      <c r="V46" s="98">
        <f t="shared" si="1"/>
        <v>24</v>
      </c>
    </row>
    <row r="47" spans="1:22" x14ac:dyDescent="0.2">
      <c r="U47" s="100">
        <f>SUM(U5:U46)</f>
        <v>448.5</v>
      </c>
      <c r="V47" s="100">
        <f>SUM(V5:V46)</f>
        <v>359.5</v>
      </c>
    </row>
    <row r="48" spans="1:22" x14ac:dyDescent="0.2">
      <c r="U48" s="74"/>
      <c r="V48" s="74"/>
    </row>
    <row r="49" spans="21:22" s="93" customFormat="1" x14ac:dyDescent="0.2">
      <c r="U49" s="164">
        <f>V47-U47</f>
        <v>-89</v>
      </c>
      <c r="V49" s="164"/>
    </row>
  </sheetData>
  <mergeCells count="2">
    <mergeCell ref="E2:T2"/>
    <mergeCell ref="U49:V49"/>
  </mergeCells>
  <pageMargins left="0.7" right="0.7" top="0.75" bottom="0.75" header="0.3" footer="0.3"/>
  <pageSetup orientation="portrait" verticalDpi="0" r:id="rId1"/>
  <ignoredErrors>
    <ignoredError sqref="F10 F12 O11:P11 Q14 Q15 F20:H20 F27:H27 N21:P21 G23:P23 I25:P25 M31:P31 G28:P28 F37:P37 M35:P35 Q8 Q13 Q11 Q17:Q18 Q27 Q21 Q22:Q23 Q25 Q29:Q30 Q28 Q36:Q37 Q35 Q40 F9 H9 H29:P29 J7 F30:H30 J30 O17:P17 J27 M27:P27 G22 I22:P22 F26 L16 L24 G36 I36:P36 O13:P13 K18:P18 N20 H38 Q31 N6:P6 R9 R39 P41:R41 J32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51"/>
  <sheetViews>
    <sheetView zoomScale="90" zoomScaleNormal="90" workbookViewId="0">
      <selection activeCell="A2" sqref="A2"/>
    </sheetView>
  </sheetViews>
  <sheetFormatPr baseColWidth="10" defaultRowHeight="12" x14ac:dyDescent="0.2"/>
  <cols>
    <col min="1" max="1" width="35.42578125" style="93" bestFit="1" customWidth="1"/>
    <col min="2" max="2" width="9.85546875" style="99" bestFit="1" customWidth="1"/>
    <col min="3" max="4" width="5" style="99" customWidth="1"/>
    <col min="5" max="5" width="5" style="93" customWidth="1"/>
    <col min="6" max="6" width="4.7109375" style="93" bestFit="1" customWidth="1"/>
    <col min="7" max="7" width="13.7109375" style="93" customWidth="1"/>
    <col min="8" max="8" width="4.7109375" style="93" bestFit="1" customWidth="1"/>
    <col min="9" max="9" width="14.5703125" style="93" bestFit="1" customWidth="1"/>
    <col min="10" max="10" width="4.7109375" style="93" bestFit="1" customWidth="1"/>
    <col min="11" max="11" width="14.42578125" style="93" bestFit="1" customWidth="1"/>
    <col min="12" max="12" width="4.7109375" style="93" bestFit="1" customWidth="1"/>
    <col min="13" max="13" width="16" style="93" bestFit="1" customWidth="1"/>
    <col min="14" max="14" width="4.7109375" style="93" bestFit="1" customWidth="1"/>
    <col min="15" max="15" width="11.42578125" style="93" bestFit="1" customWidth="1"/>
    <col min="16" max="16" width="4.7109375" style="93" bestFit="1" customWidth="1"/>
    <col min="17" max="17" width="15.85546875" style="93" bestFit="1" customWidth="1"/>
    <col min="18" max="18" width="4.7109375" style="93" bestFit="1" customWidth="1"/>
    <col min="19" max="19" width="15.7109375" style="93" bestFit="1" customWidth="1"/>
    <col min="20" max="20" width="4.7109375" style="93" bestFit="1" customWidth="1"/>
    <col min="21" max="21" width="15.28515625" style="93" bestFit="1" customWidth="1"/>
    <col min="22" max="22" width="4" style="93" bestFit="1" customWidth="1"/>
    <col min="23" max="23" width="14.85546875" style="93" bestFit="1" customWidth="1"/>
    <col min="24" max="24" width="3.85546875" style="93" customWidth="1"/>
    <col min="25" max="25" width="11.85546875" style="93" customWidth="1"/>
    <col min="26" max="26" width="3.85546875" style="93" customWidth="1"/>
    <col min="27" max="27" width="11.85546875" style="93" customWidth="1"/>
    <col min="28" max="28" width="3.7109375" style="93" customWidth="1"/>
    <col min="29" max="29" width="11.85546875" style="93" customWidth="1"/>
    <col min="30" max="30" width="3.7109375" style="93" customWidth="1"/>
    <col min="31" max="31" width="14.85546875" style="93" bestFit="1" customWidth="1"/>
    <col min="32" max="32" width="3.5703125" style="93" customWidth="1"/>
    <col min="33" max="33" width="11.85546875" style="93" customWidth="1"/>
    <col min="34" max="34" width="3.5703125" style="93" customWidth="1"/>
    <col min="35" max="35" width="11.85546875" style="93" customWidth="1"/>
    <col min="36" max="36" width="3.5703125" style="93" customWidth="1"/>
    <col min="37" max="37" width="10" style="93" bestFit="1" customWidth="1"/>
    <col min="38" max="38" width="3.5703125" style="93" customWidth="1"/>
    <col min="39" max="39" width="11.28515625" style="93" bestFit="1" customWidth="1"/>
    <col min="40" max="40" width="3.5703125" style="93" customWidth="1"/>
    <col min="41" max="41" width="11.28515625" style="93" customWidth="1"/>
    <col min="42" max="42" width="8.7109375" style="93" bestFit="1" customWidth="1"/>
    <col min="43" max="43" width="11.140625" style="93" bestFit="1" customWidth="1"/>
    <col min="44" max="16384" width="11.42578125" style="93"/>
  </cols>
  <sheetData>
    <row r="1" spans="1:43" s="74" customFormat="1" x14ac:dyDescent="0.2">
      <c r="A1" s="102"/>
      <c r="B1" s="70"/>
      <c r="C1" s="120"/>
      <c r="D1" s="120" t="s">
        <v>104</v>
      </c>
      <c r="E1" s="122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2"/>
      <c r="AQ1" s="73"/>
    </row>
    <row r="2" spans="1:43" s="74" customFormat="1" x14ac:dyDescent="0.2">
      <c r="A2" s="104" t="s">
        <v>120</v>
      </c>
      <c r="B2" s="85"/>
      <c r="C2" s="75"/>
      <c r="D2" s="86" t="s">
        <v>105</v>
      </c>
      <c r="E2" s="121"/>
      <c r="F2" s="163" t="s">
        <v>78</v>
      </c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18"/>
      <c r="W2" s="115"/>
      <c r="X2" s="118"/>
      <c r="Y2" s="115"/>
      <c r="Z2" s="115"/>
      <c r="AA2" s="115"/>
      <c r="AB2" s="118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8"/>
      <c r="AO2" s="115"/>
      <c r="AP2" s="77" t="s">
        <v>187</v>
      </c>
      <c r="AQ2" s="78" t="s">
        <v>83</v>
      </c>
    </row>
    <row r="3" spans="1:43" s="74" customFormat="1" x14ac:dyDescent="0.2">
      <c r="A3" s="79"/>
      <c r="B3" s="77" t="s">
        <v>81</v>
      </c>
      <c r="C3" s="77"/>
      <c r="D3" s="82"/>
      <c r="E3" s="119"/>
      <c r="F3" s="80"/>
      <c r="G3" s="81"/>
      <c r="H3" s="80"/>
      <c r="I3" s="81"/>
      <c r="J3" s="80"/>
      <c r="K3" s="81"/>
      <c r="L3" s="80"/>
      <c r="M3" s="81"/>
      <c r="N3" s="80"/>
      <c r="O3" s="81"/>
      <c r="P3" s="80"/>
      <c r="Q3" s="81"/>
      <c r="R3" s="80"/>
      <c r="S3" s="81"/>
      <c r="T3" s="80"/>
      <c r="U3" s="80"/>
      <c r="V3" s="80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82" t="s">
        <v>80</v>
      </c>
      <c r="AQ3" s="83" t="s">
        <v>106</v>
      </c>
    </row>
    <row r="4" spans="1:43" s="74" customFormat="1" x14ac:dyDescent="0.2">
      <c r="A4" s="84"/>
      <c r="B4" s="85" t="s">
        <v>82</v>
      </c>
      <c r="C4" s="85">
        <v>2023</v>
      </c>
      <c r="D4" s="85">
        <v>2024</v>
      </c>
      <c r="E4" s="85">
        <v>2025</v>
      </c>
      <c r="F4" s="85" t="s">
        <v>83</v>
      </c>
      <c r="G4" s="86" t="s">
        <v>84</v>
      </c>
      <c r="H4" s="85" t="s">
        <v>83</v>
      </c>
      <c r="I4" s="86" t="s">
        <v>84</v>
      </c>
      <c r="J4" s="85" t="s">
        <v>83</v>
      </c>
      <c r="K4" s="86" t="s">
        <v>84</v>
      </c>
      <c r="L4" s="85" t="s">
        <v>83</v>
      </c>
      <c r="M4" s="86" t="s">
        <v>84</v>
      </c>
      <c r="N4" s="85" t="s">
        <v>83</v>
      </c>
      <c r="O4" s="86" t="s">
        <v>84</v>
      </c>
      <c r="P4" s="85" t="s">
        <v>83</v>
      </c>
      <c r="Q4" s="86" t="s">
        <v>84</v>
      </c>
      <c r="R4" s="85" t="s">
        <v>83</v>
      </c>
      <c r="S4" s="86" t="s">
        <v>84</v>
      </c>
      <c r="T4" s="85" t="s">
        <v>83</v>
      </c>
      <c r="U4" s="85" t="s">
        <v>84</v>
      </c>
      <c r="V4" s="85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3" t="s">
        <v>122</v>
      </c>
    </row>
    <row r="5" spans="1:43" x14ac:dyDescent="0.2">
      <c r="A5" s="88" t="s">
        <v>0</v>
      </c>
      <c r="B5" s="89">
        <v>38717</v>
      </c>
      <c r="C5" s="101"/>
      <c r="D5" s="101"/>
      <c r="E5" s="90">
        <v>26</v>
      </c>
      <c r="F5" s="128">
        <v>3</v>
      </c>
      <c r="G5" s="128" t="s">
        <v>183</v>
      </c>
      <c r="H5" s="123">
        <v>2</v>
      </c>
      <c r="I5" s="124" t="s">
        <v>193</v>
      </c>
      <c r="J5" s="90">
        <v>21</v>
      </c>
      <c r="K5" s="150" t="s">
        <v>231</v>
      </c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0">
        <f t="shared" ref="AP5:AP14" si="0">F5+H5+J5+L5+N5+P5+R5+T5+V5+X5+Z5+AB5+AD5+AF5+AH5+AJ5+AL5+AN5</f>
        <v>26</v>
      </c>
      <c r="AQ5" s="92">
        <f>C5+D5+E5-AP5</f>
        <v>0</v>
      </c>
    </row>
    <row r="6" spans="1:43" x14ac:dyDescent="0.2">
      <c r="A6" s="88" t="s">
        <v>1</v>
      </c>
      <c r="B6" s="89">
        <v>41276</v>
      </c>
      <c r="C6" s="101"/>
      <c r="D6" s="101">
        <v>24</v>
      </c>
      <c r="E6" s="90">
        <v>24</v>
      </c>
      <c r="F6" s="90">
        <v>2</v>
      </c>
      <c r="G6" s="91" t="s">
        <v>149</v>
      </c>
      <c r="H6" s="90">
        <v>13</v>
      </c>
      <c r="I6" s="91">
        <v>45517</v>
      </c>
      <c r="J6" s="90">
        <v>3</v>
      </c>
      <c r="K6" s="91">
        <v>45605</v>
      </c>
      <c r="L6" s="123">
        <v>6</v>
      </c>
      <c r="M6" s="125" t="s">
        <v>194</v>
      </c>
      <c r="N6" s="90">
        <v>0.5</v>
      </c>
      <c r="O6" s="91">
        <v>45825</v>
      </c>
      <c r="P6" s="90">
        <v>0.5</v>
      </c>
      <c r="Q6" s="91">
        <v>45827</v>
      </c>
      <c r="R6" s="90">
        <v>0.5</v>
      </c>
      <c r="S6" s="91">
        <v>45840</v>
      </c>
      <c r="T6" s="90">
        <v>0.5</v>
      </c>
      <c r="U6" s="91">
        <v>45860</v>
      </c>
      <c r="V6" s="90">
        <v>13</v>
      </c>
      <c r="W6" s="91" t="s">
        <v>225</v>
      </c>
      <c r="X6" s="90">
        <v>0.5</v>
      </c>
      <c r="Y6" s="91">
        <v>45929</v>
      </c>
      <c r="Z6" s="90">
        <v>3</v>
      </c>
      <c r="AA6" s="90" t="s">
        <v>241</v>
      </c>
      <c r="AB6" s="90">
        <v>1</v>
      </c>
      <c r="AC6" s="91">
        <v>46018</v>
      </c>
      <c r="AD6" s="90">
        <v>4.5</v>
      </c>
      <c r="AE6" s="148" t="s">
        <v>252</v>
      </c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90">
        <f t="shared" si="0"/>
        <v>48</v>
      </c>
      <c r="AQ6" s="92">
        <f>C6+D6+E6-AP6</f>
        <v>0</v>
      </c>
    </row>
    <row r="7" spans="1:43" x14ac:dyDescent="0.2">
      <c r="A7" s="88" t="s">
        <v>2</v>
      </c>
      <c r="B7" s="89">
        <v>42247</v>
      </c>
      <c r="C7" s="101"/>
      <c r="D7" s="101">
        <v>22</v>
      </c>
      <c r="E7" s="90">
        <v>22</v>
      </c>
      <c r="F7" s="135">
        <v>0.5</v>
      </c>
      <c r="G7" s="136">
        <v>45685</v>
      </c>
      <c r="H7" s="139">
        <v>0.5</v>
      </c>
      <c r="I7" s="140">
        <v>45720</v>
      </c>
      <c r="J7" s="139">
        <v>1</v>
      </c>
      <c r="K7" s="140">
        <v>45731</v>
      </c>
      <c r="L7" s="141">
        <v>1</v>
      </c>
      <c r="M7" s="142">
        <v>45734</v>
      </c>
      <c r="N7" s="143">
        <v>0.5</v>
      </c>
      <c r="O7" s="144">
        <v>45754</v>
      </c>
      <c r="P7" s="123">
        <v>2</v>
      </c>
      <c r="Q7" s="124" t="s">
        <v>193</v>
      </c>
      <c r="R7" s="123">
        <v>0.5</v>
      </c>
      <c r="S7" s="124">
        <v>45770</v>
      </c>
      <c r="T7" s="123">
        <v>0.5</v>
      </c>
      <c r="U7" s="124">
        <v>45771</v>
      </c>
      <c r="V7" s="126">
        <v>0.5</v>
      </c>
      <c r="W7" s="127">
        <v>45790</v>
      </c>
      <c r="X7" s="90">
        <v>0.5</v>
      </c>
      <c r="Y7" s="91">
        <v>45827</v>
      </c>
      <c r="Z7" s="90">
        <v>0.5</v>
      </c>
      <c r="AA7" s="91">
        <v>45856</v>
      </c>
      <c r="AB7" s="90">
        <v>14</v>
      </c>
      <c r="AC7" s="90" t="s">
        <v>212</v>
      </c>
      <c r="AD7" s="90">
        <v>0.5</v>
      </c>
      <c r="AE7" s="91">
        <v>45887</v>
      </c>
      <c r="AF7" s="90">
        <v>0.5</v>
      </c>
      <c r="AG7" s="91">
        <v>45918</v>
      </c>
      <c r="AH7" s="90">
        <v>0.5</v>
      </c>
      <c r="AI7" s="91">
        <v>45946</v>
      </c>
      <c r="AJ7" s="90">
        <v>1</v>
      </c>
      <c r="AK7" s="91">
        <v>45976</v>
      </c>
      <c r="AL7" s="90">
        <v>0.5</v>
      </c>
      <c r="AM7" s="91">
        <v>45979</v>
      </c>
      <c r="AN7" s="90">
        <v>0.5</v>
      </c>
      <c r="AO7" s="91">
        <v>46008</v>
      </c>
      <c r="AP7" s="90">
        <f t="shared" si="0"/>
        <v>25.5</v>
      </c>
      <c r="AQ7" s="92">
        <f>C7+D7+E7-AP7</f>
        <v>18.5</v>
      </c>
    </row>
    <row r="8" spans="1:43" x14ac:dyDescent="0.2">
      <c r="A8" s="88" t="s">
        <v>3</v>
      </c>
      <c r="B8" s="89">
        <v>41730</v>
      </c>
      <c r="C8" s="101"/>
      <c r="D8" s="101"/>
      <c r="E8" s="90">
        <v>24</v>
      </c>
      <c r="F8" s="137">
        <v>2</v>
      </c>
      <c r="G8" s="138" t="s">
        <v>178</v>
      </c>
      <c r="H8" s="123">
        <v>3</v>
      </c>
      <c r="I8" s="124" t="s">
        <v>195</v>
      </c>
      <c r="J8" s="90">
        <v>0.5</v>
      </c>
      <c r="K8" s="91">
        <v>45818</v>
      </c>
      <c r="L8" s="90">
        <v>1</v>
      </c>
      <c r="M8" s="91">
        <v>45829</v>
      </c>
      <c r="N8" s="90">
        <v>0.5</v>
      </c>
      <c r="O8" s="91">
        <v>45841</v>
      </c>
      <c r="P8" s="90">
        <v>1</v>
      </c>
      <c r="Q8" s="91">
        <v>45915</v>
      </c>
      <c r="R8" s="90">
        <v>1</v>
      </c>
      <c r="S8" s="91">
        <v>45990</v>
      </c>
      <c r="T8" s="90">
        <v>15</v>
      </c>
      <c r="U8" s="91" t="s">
        <v>249</v>
      </c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>
        <f t="shared" si="0"/>
        <v>24</v>
      </c>
      <c r="AQ8" s="92">
        <f>C8+D8+E8-AP8</f>
        <v>0</v>
      </c>
    </row>
    <row r="9" spans="1:43" x14ac:dyDescent="0.2">
      <c r="A9" s="88" t="s">
        <v>4</v>
      </c>
      <c r="B9" s="89">
        <v>42006</v>
      </c>
      <c r="C9" s="101"/>
      <c r="D9" s="101"/>
      <c r="E9" s="90">
        <v>12</v>
      </c>
      <c r="F9" s="112">
        <v>1</v>
      </c>
      <c r="G9" s="111">
        <v>45689</v>
      </c>
      <c r="H9" s="112">
        <v>1</v>
      </c>
      <c r="I9" s="111">
        <v>45724</v>
      </c>
      <c r="J9" s="112">
        <v>0.5</v>
      </c>
      <c r="K9" s="111">
        <v>45758</v>
      </c>
      <c r="L9" s="112">
        <v>2</v>
      </c>
      <c r="M9" s="111" t="s">
        <v>202</v>
      </c>
      <c r="N9" s="90">
        <v>0.5</v>
      </c>
      <c r="O9" s="91">
        <v>45826</v>
      </c>
      <c r="P9" s="90">
        <v>5</v>
      </c>
      <c r="Q9" s="91">
        <v>45853</v>
      </c>
      <c r="R9" s="90">
        <v>0.5</v>
      </c>
      <c r="S9" s="91">
        <v>45883</v>
      </c>
      <c r="T9" s="90">
        <v>0.5</v>
      </c>
      <c r="U9" s="91">
        <v>45896</v>
      </c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90">
        <f t="shared" si="0"/>
        <v>11</v>
      </c>
      <c r="AQ9" s="92">
        <f t="shared" ref="AQ9:AQ48" si="1">C9+D9+E9-AP9</f>
        <v>1</v>
      </c>
    </row>
    <row r="10" spans="1:43" x14ac:dyDescent="0.2">
      <c r="A10" s="88" t="s">
        <v>5</v>
      </c>
      <c r="B10" s="89">
        <v>42633</v>
      </c>
      <c r="C10" s="101"/>
      <c r="D10" s="101">
        <v>22</v>
      </c>
      <c r="E10" s="90">
        <v>22</v>
      </c>
      <c r="F10" s="90">
        <v>18</v>
      </c>
      <c r="G10" s="91" t="s">
        <v>190</v>
      </c>
      <c r="H10" s="139">
        <v>0.5</v>
      </c>
      <c r="I10" s="140">
        <v>45721</v>
      </c>
      <c r="J10" s="123">
        <v>2</v>
      </c>
      <c r="K10" s="124" t="s">
        <v>193</v>
      </c>
      <c r="L10" s="90">
        <v>1.5</v>
      </c>
      <c r="M10" s="91"/>
      <c r="N10" s="90">
        <v>18</v>
      </c>
      <c r="O10" s="91" t="s">
        <v>213</v>
      </c>
      <c r="P10" s="90">
        <v>0.5</v>
      </c>
      <c r="Q10" s="91">
        <v>45960</v>
      </c>
      <c r="R10" s="56"/>
      <c r="S10" s="110"/>
      <c r="T10" s="56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90">
        <f t="shared" si="0"/>
        <v>40.5</v>
      </c>
      <c r="AQ10" s="92">
        <f t="shared" si="1"/>
        <v>3.5</v>
      </c>
    </row>
    <row r="11" spans="1:43" x14ac:dyDescent="0.2">
      <c r="A11" s="88" t="s">
        <v>6</v>
      </c>
      <c r="B11" s="89">
        <v>44771</v>
      </c>
      <c r="C11" s="101"/>
      <c r="D11" s="101"/>
      <c r="E11" s="90">
        <v>16</v>
      </c>
      <c r="F11" s="128">
        <v>0.5</v>
      </c>
      <c r="G11" s="129">
        <v>45715</v>
      </c>
      <c r="H11" s="143">
        <v>0.5</v>
      </c>
      <c r="I11" s="144">
        <v>45756</v>
      </c>
      <c r="J11" s="123">
        <v>1</v>
      </c>
      <c r="K11" s="124">
        <v>45764</v>
      </c>
      <c r="L11" s="112">
        <v>0.5</v>
      </c>
      <c r="M11" s="111">
        <v>45805</v>
      </c>
      <c r="N11" s="90">
        <v>0.5</v>
      </c>
      <c r="O11" s="91">
        <v>45826</v>
      </c>
      <c r="P11" s="90">
        <v>0.5</v>
      </c>
      <c r="Q11" s="91">
        <v>45829</v>
      </c>
      <c r="R11" s="90">
        <v>0.5</v>
      </c>
      <c r="S11" s="91">
        <v>45869</v>
      </c>
      <c r="T11" s="90">
        <v>1</v>
      </c>
      <c r="U11" s="91">
        <v>45902</v>
      </c>
      <c r="V11" s="90">
        <v>4</v>
      </c>
      <c r="W11" s="90" t="s">
        <v>223</v>
      </c>
      <c r="X11" s="90">
        <v>7</v>
      </c>
      <c r="Y11" s="90" t="s">
        <v>238</v>
      </c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>
        <f t="shared" si="0"/>
        <v>16</v>
      </c>
      <c r="AQ11" s="92">
        <f t="shared" si="1"/>
        <v>0</v>
      </c>
    </row>
    <row r="12" spans="1:43" x14ac:dyDescent="0.2">
      <c r="A12" s="88" t="s">
        <v>7</v>
      </c>
      <c r="B12" s="89">
        <v>42646</v>
      </c>
      <c r="C12" s="101"/>
      <c r="D12" s="101">
        <v>22</v>
      </c>
      <c r="E12" s="90">
        <v>22</v>
      </c>
      <c r="F12" s="90">
        <v>1</v>
      </c>
      <c r="G12" s="91">
        <v>45994</v>
      </c>
      <c r="H12" s="143">
        <v>1</v>
      </c>
      <c r="I12" s="144">
        <v>45755</v>
      </c>
      <c r="J12" s="123">
        <v>2</v>
      </c>
      <c r="K12" s="124" t="s">
        <v>193</v>
      </c>
      <c r="L12" s="112">
        <v>1</v>
      </c>
      <c r="M12" s="111">
        <v>45793</v>
      </c>
      <c r="N12" s="90">
        <v>1</v>
      </c>
      <c r="O12" s="91">
        <v>45835</v>
      </c>
      <c r="P12" s="90">
        <v>13</v>
      </c>
      <c r="Q12" s="90" t="s">
        <v>225</v>
      </c>
      <c r="R12" s="90">
        <v>3</v>
      </c>
      <c r="S12" s="149" t="s">
        <v>228</v>
      </c>
      <c r="T12" s="90">
        <v>2</v>
      </c>
      <c r="U12" s="90" t="s">
        <v>247</v>
      </c>
      <c r="V12" s="90">
        <v>3</v>
      </c>
      <c r="W12" s="90" t="s">
        <v>250</v>
      </c>
      <c r="X12" s="90">
        <v>3</v>
      </c>
      <c r="Y12" s="90" t="s">
        <v>251</v>
      </c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>
        <f t="shared" si="0"/>
        <v>30</v>
      </c>
      <c r="AQ12" s="92">
        <f t="shared" si="1"/>
        <v>14</v>
      </c>
    </row>
    <row r="13" spans="1:43" x14ac:dyDescent="0.2">
      <c r="A13" s="88" t="s">
        <v>8</v>
      </c>
      <c r="B13" s="89">
        <v>43381</v>
      </c>
      <c r="C13" s="101"/>
      <c r="D13" s="101">
        <v>22</v>
      </c>
      <c r="E13" s="90">
        <v>22</v>
      </c>
      <c r="F13" s="90">
        <v>0.5</v>
      </c>
      <c r="G13" s="91">
        <v>46018</v>
      </c>
      <c r="H13" s="128">
        <v>2</v>
      </c>
      <c r="I13" s="129" t="s">
        <v>182</v>
      </c>
      <c r="J13" s="141">
        <v>0.5</v>
      </c>
      <c r="K13" s="142">
        <v>45744</v>
      </c>
      <c r="L13" s="123">
        <v>1</v>
      </c>
      <c r="M13" s="124">
        <v>45777</v>
      </c>
      <c r="N13" s="126">
        <v>1</v>
      </c>
      <c r="O13" s="127">
        <v>45779</v>
      </c>
      <c r="P13" s="90">
        <v>1</v>
      </c>
      <c r="Q13" s="91">
        <v>45829</v>
      </c>
      <c r="R13" s="90">
        <v>5</v>
      </c>
      <c r="S13" s="91" t="s">
        <v>214</v>
      </c>
      <c r="T13" s="90">
        <v>1</v>
      </c>
      <c r="U13" s="91">
        <v>45934</v>
      </c>
      <c r="V13" s="90">
        <v>9</v>
      </c>
      <c r="W13" s="90" t="s">
        <v>242</v>
      </c>
      <c r="X13" s="90">
        <v>1</v>
      </c>
      <c r="Y13" s="91">
        <v>45989</v>
      </c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0">
        <f t="shared" si="0"/>
        <v>22</v>
      </c>
      <c r="AQ13" s="92">
        <f t="shared" si="1"/>
        <v>22</v>
      </c>
    </row>
    <row r="14" spans="1:43" x14ac:dyDescent="0.2">
      <c r="A14" s="88" t="s">
        <v>9</v>
      </c>
      <c r="B14" s="89">
        <v>43850</v>
      </c>
      <c r="C14" s="101"/>
      <c r="D14" s="101"/>
      <c r="E14" s="90">
        <v>20</v>
      </c>
      <c r="F14" s="128">
        <v>12</v>
      </c>
      <c r="G14" s="130" t="s">
        <v>184</v>
      </c>
      <c r="H14" s="139">
        <v>1</v>
      </c>
      <c r="I14" s="140">
        <v>45724</v>
      </c>
      <c r="J14" s="123">
        <v>2</v>
      </c>
      <c r="K14" s="124" t="s">
        <v>193</v>
      </c>
      <c r="L14" s="90">
        <v>5</v>
      </c>
      <c r="M14" s="150" t="s">
        <v>232</v>
      </c>
      <c r="N14" s="90"/>
      <c r="O14" s="91"/>
      <c r="P14" s="90"/>
      <c r="Q14" s="91"/>
      <c r="R14" s="91"/>
      <c r="S14" s="91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>
        <f t="shared" si="0"/>
        <v>20</v>
      </c>
      <c r="AQ14" s="92">
        <f t="shared" si="1"/>
        <v>0</v>
      </c>
    </row>
    <row r="15" spans="1:43" x14ac:dyDescent="0.2">
      <c r="A15" s="88" t="s">
        <v>175</v>
      </c>
      <c r="B15" s="89">
        <v>45605</v>
      </c>
      <c r="C15" s="101"/>
      <c r="D15" s="101"/>
      <c r="E15" s="90">
        <v>12</v>
      </c>
      <c r="F15" s="90"/>
      <c r="G15" s="91"/>
      <c r="H15" s="90"/>
      <c r="I15" s="91"/>
      <c r="J15" s="90"/>
      <c r="K15" s="90"/>
      <c r="L15" s="90"/>
      <c r="M15" s="91"/>
      <c r="N15" s="90"/>
      <c r="O15" s="91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0">
        <f>F15+H15+J15+L15+N15+P15+R15+T15+V15+X15+Z15+AB15+AD15+AF15+AH15+AJ15+AL15+AN15</f>
        <v>0</v>
      </c>
      <c r="AQ15" s="92">
        <f t="shared" ref="AQ15" si="2">C15+D15+E15-AP15</f>
        <v>12</v>
      </c>
    </row>
    <row r="16" spans="1:43" x14ac:dyDescent="0.2">
      <c r="A16" s="88" t="s">
        <v>10</v>
      </c>
      <c r="B16" s="89">
        <v>44690</v>
      </c>
      <c r="C16" s="101"/>
      <c r="D16" s="101">
        <v>14</v>
      </c>
      <c r="E16" s="90">
        <v>16</v>
      </c>
      <c r="F16" s="90">
        <v>1</v>
      </c>
      <c r="G16" s="91">
        <v>45306</v>
      </c>
      <c r="H16" s="90">
        <v>0.5</v>
      </c>
      <c r="I16" s="91">
        <v>45376</v>
      </c>
      <c r="J16" s="90">
        <v>1</v>
      </c>
      <c r="K16" s="91">
        <v>45428</v>
      </c>
      <c r="L16" s="90">
        <v>1</v>
      </c>
      <c r="M16" s="91"/>
      <c r="N16" s="90">
        <v>7</v>
      </c>
      <c r="O16" s="91">
        <v>45542</v>
      </c>
      <c r="P16" s="90">
        <v>0.5</v>
      </c>
      <c r="Q16" s="91">
        <v>361.12</v>
      </c>
      <c r="R16" s="141">
        <v>1</v>
      </c>
      <c r="S16" s="142">
        <v>45743</v>
      </c>
      <c r="T16" s="123">
        <v>2</v>
      </c>
      <c r="U16" s="124" t="s">
        <v>193</v>
      </c>
      <c r="V16" s="112">
        <v>1</v>
      </c>
      <c r="W16" s="111">
        <v>45819</v>
      </c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0">
        <f t="shared" ref="AP16:AP48" si="3">F16+H16+J16+L16+N16+P16+R16+T16+V16+X16+Z16+AB16+AD16+AF16+AH16+AJ16+AL16+AN16</f>
        <v>15</v>
      </c>
      <c r="AQ16" s="92">
        <f t="shared" si="1"/>
        <v>15</v>
      </c>
    </row>
    <row r="17" spans="1:43" x14ac:dyDescent="0.2">
      <c r="A17" s="88" t="s">
        <v>11</v>
      </c>
      <c r="B17" s="89">
        <v>44669</v>
      </c>
      <c r="C17" s="101"/>
      <c r="D17" s="101"/>
      <c r="E17" s="90">
        <v>16</v>
      </c>
      <c r="F17" s="135">
        <v>1</v>
      </c>
      <c r="G17" s="136">
        <v>45673</v>
      </c>
      <c r="H17" s="128">
        <v>1</v>
      </c>
      <c r="I17" s="129">
        <v>45714</v>
      </c>
      <c r="J17" s="143">
        <v>1</v>
      </c>
      <c r="K17" s="144">
        <v>45758</v>
      </c>
      <c r="L17" s="123">
        <v>2</v>
      </c>
      <c r="M17" s="124" t="s">
        <v>193</v>
      </c>
      <c r="N17" s="126">
        <v>1</v>
      </c>
      <c r="O17" s="127">
        <v>45784</v>
      </c>
      <c r="P17" s="90">
        <v>4</v>
      </c>
      <c r="Q17" s="90" t="s">
        <v>205</v>
      </c>
      <c r="R17" s="90">
        <v>1</v>
      </c>
      <c r="S17" s="91">
        <v>45843</v>
      </c>
      <c r="T17" s="90">
        <v>1</v>
      </c>
      <c r="U17" s="91">
        <v>45862</v>
      </c>
      <c r="V17" s="90">
        <v>2</v>
      </c>
      <c r="W17" s="91" t="s">
        <v>227</v>
      </c>
      <c r="X17" s="90">
        <v>2</v>
      </c>
      <c r="Y17" s="91" t="s">
        <v>245</v>
      </c>
      <c r="Z17" s="90">
        <v>1</v>
      </c>
      <c r="AA17" s="91">
        <v>46008</v>
      </c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90">
        <f t="shared" si="3"/>
        <v>17</v>
      </c>
      <c r="AQ17" s="92">
        <f t="shared" si="1"/>
        <v>-1</v>
      </c>
    </row>
    <row r="18" spans="1:43" x14ac:dyDescent="0.2">
      <c r="A18" s="88" t="s">
        <v>157</v>
      </c>
      <c r="B18" s="89">
        <v>45463</v>
      </c>
      <c r="C18" s="101"/>
      <c r="D18" s="101"/>
      <c r="E18" s="90">
        <v>12</v>
      </c>
      <c r="F18" s="123">
        <v>2</v>
      </c>
      <c r="G18" s="124" t="s">
        <v>193</v>
      </c>
      <c r="H18" s="90">
        <v>1</v>
      </c>
      <c r="I18" s="91">
        <v>45825</v>
      </c>
      <c r="J18" s="90">
        <v>0.5</v>
      </c>
      <c r="K18" s="91">
        <v>45840</v>
      </c>
      <c r="L18" s="90">
        <v>0.5</v>
      </c>
      <c r="M18" s="91">
        <v>45841</v>
      </c>
      <c r="N18" s="90">
        <v>3</v>
      </c>
      <c r="O18" s="91" t="s">
        <v>210</v>
      </c>
      <c r="P18" s="90">
        <v>1</v>
      </c>
      <c r="Q18" s="91">
        <v>45917</v>
      </c>
      <c r="R18" s="90">
        <v>1</v>
      </c>
      <c r="S18" s="91">
        <v>46008</v>
      </c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0">
        <f t="shared" si="3"/>
        <v>9</v>
      </c>
      <c r="AQ18" s="92">
        <f t="shared" si="1"/>
        <v>3</v>
      </c>
    </row>
    <row r="19" spans="1:43" x14ac:dyDescent="0.2">
      <c r="A19" s="88" t="s">
        <v>233</v>
      </c>
      <c r="B19" s="89">
        <v>45827</v>
      </c>
      <c r="C19" s="101"/>
      <c r="D19" s="101"/>
      <c r="E19" s="90"/>
      <c r="F19" s="90">
        <v>1</v>
      </c>
      <c r="G19" s="91">
        <v>45919</v>
      </c>
      <c r="H19" s="90"/>
      <c r="I19" s="91"/>
      <c r="J19" s="90"/>
      <c r="K19" s="91"/>
      <c r="L19" s="112"/>
      <c r="M19" s="111"/>
      <c r="N19" s="112"/>
      <c r="O19" s="111"/>
      <c r="P19" s="112"/>
      <c r="Q19" s="111"/>
      <c r="R19" s="112"/>
      <c r="S19" s="112"/>
      <c r="T19" s="112"/>
      <c r="U19" s="111"/>
      <c r="V19" s="90"/>
      <c r="W19" s="91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0">
        <f t="shared" si="3"/>
        <v>1</v>
      </c>
      <c r="AQ19" s="92">
        <f t="shared" si="1"/>
        <v>-1</v>
      </c>
    </row>
    <row r="20" spans="1:43" x14ac:dyDescent="0.2">
      <c r="A20" s="88" t="s">
        <v>14</v>
      </c>
      <c r="B20" s="89">
        <v>44700</v>
      </c>
      <c r="C20" s="101"/>
      <c r="D20" s="101">
        <v>14</v>
      </c>
      <c r="E20" s="90">
        <v>16</v>
      </c>
      <c r="F20" s="90">
        <v>1</v>
      </c>
      <c r="G20" s="91">
        <v>45463</v>
      </c>
      <c r="H20" s="90">
        <v>1</v>
      </c>
      <c r="I20" s="91">
        <v>45490</v>
      </c>
      <c r="J20" s="90">
        <v>2</v>
      </c>
      <c r="K20" s="91" t="s">
        <v>181</v>
      </c>
      <c r="L20" s="90">
        <v>1</v>
      </c>
      <c r="M20" s="91">
        <v>45569</v>
      </c>
      <c r="N20" s="90">
        <v>1</v>
      </c>
      <c r="O20" s="91">
        <v>45632</v>
      </c>
      <c r="P20" s="131">
        <v>1</v>
      </c>
      <c r="Q20" s="134">
        <v>45664</v>
      </c>
      <c r="R20" s="137">
        <v>1</v>
      </c>
      <c r="S20" s="138">
        <v>45702</v>
      </c>
      <c r="T20" s="128">
        <v>2</v>
      </c>
      <c r="U20" s="129" t="s">
        <v>182</v>
      </c>
      <c r="V20" s="139">
        <v>4</v>
      </c>
      <c r="W20" s="140" t="s">
        <v>167</v>
      </c>
      <c r="X20" s="143">
        <v>1</v>
      </c>
      <c r="Y20" s="144">
        <v>45756</v>
      </c>
      <c r="Z20" s="112">
        <v>1</v>
      </c>
      <c r="AA20" s="111">
        <v>45794</v>
      </c>
      <c r="AB20" s="90">
        <v>1</v>
      </c>
      <c r="AC20" s="91">
        <v>45838</v>
      </c>
      <c r="AD20" s="90">
        <v>1</v>
      </c>
      <c r="AE20" s="91">
        <v>45847</v>
      </c>
      <c r="AF20" s="90">
        <v>1</v>
      </c>
      <c r="AG20" s="91">
        <v>45871</v>
      </c>
      <c r="AH20" s="90">
        <v>1</v>
      </c>
      <c r="AI20" s="91">
        <v>45926</v>
      </c>
      <c r="AJ20" s="90">
        <v>2</v>
      </c>
      <c r="AK20" s="91" t="s">
        <v>239</v>
      </c>
      <c r="AL20" s="90">
        <v>1</v>
      </c>
      <c r="AM20" s="91">
        <v>45975</v>
      </c>
      <c r="AN20" s="90">
        <v>1</v>
      </c>
      <c r="AO20" s="91">
        <v>46000</v>
      </c>
      <c r="AP20" s="90">
        <f t="shared" si="3"/>
        <v>24</v>
      </c>
      <c r="AQ20" s="92">
        <f t="shared" si="1"/>
        <v>6</v>
      </c>
    </row>
    <row r="21" spans="1:43" x14ac:dyDescent="0.2">
      <c r="A21" s="88" t="s">
        <v>15</v>
      </c>
      <c r="B21" s="89">
        <v>44805</v>
      </c>
      <c r="C21" s="101"/>
      <c r="D21" s="101"/>
      <c r="E21" s="90">
        <v>16</v>
      </c>
      <c r="F21" s="135">
        <v>1</v>
      </c>
      <c r="G21" s="136">
        <v>45687</v>
      </c>
      <c r="H21" s="90">
        <v>1</v>
      </c>
      <c r="I21" s="91">
        <v>45891</v>
      </c>
      <c r="J21" s="90">
        <v>1</v>
      </c>
      <c r="K21" s="91">
        <v>45958</v>
      </c>
      <c r="L21" s="90">
        <v>3</v>
      </c>
      <c r="M21" s="90" t="s">
        <v>246</v>
      </c>
      <c r="N21" s="90">
        <v>0.5</v>
      </c>
      <c r="O21" s="91">
        <v>45986</v>
      </c>
      <c r="P21" s="56"/>
      <c r="Q21" s="57"/>
      <c r="R21" s="56"/>
      <c r="S21" s="57"/>
      <c r="T21" s="56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90">
        <f t="shared" si="3"/>
        <v>6.5</v>
      </c>
      <c r="AQ21" s="92">
        <f t="shared" si="1"/>
        <v>9.5</v>
      </c>
    </row>
    <row r="22" spans="1:43" x14ac:dyDescent="0.2">
      <c r="A22" s="88" t="s">
        <v>159</v>
      </c>
      <c r="B22" s="89">
        <v>45521</v>
      </c>
      <c r="C22" s="101"/>
      <c r="D22" s="101"/>
      <c r="E22" s="90">
        <v>12</v>
      </c>
      <c r="F22" s="135">
        <v>0.5</v>
      </c>
      <c r="G22" s="136">
        <v>45685</v>
      </c>
      <c r="H22" s="128">
        <v>1</v>
      </c>
      <c r="I22" s="129">
        <v>45706</v>
      </c>
      <c r="J22" s="143">
        <v>1</v>
      </c>
      <c r="K22" s="144">
        <v>45748</v>
      </c>
      <c r="L22" s="126">
        <v>1</v>
      </c>
      <c r="M22" s="127">
        <v>45779</v>
      </c>
      <c r="N22" s="90">
        <v>1</v>
      </c>
      <c r="O22" s="91">
        <v>45861</v>
      </c>
      <c r="P22" s="90">
        <v>5</v>
      </c>
      <c r="Q22" s="90" t="s">
        <v>220</v>
      </c>
      <c r="R22" s="90">
        <v>1</v>
      </c>
      <c r="S22" s="91">
        <v>45901</v>
      </c>
      <c r="T22" s="90">
        <v>1</v>
      </c>
      <c r="U22" s="91">
        <v>45927</v>
      </c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>
        <f t="shared" si="3"/>
        <v>11.5</v>
      </c>
      <c r="AQ22" s="92">
        <f t="shared" si="1"/>
        <v>0.5</v>
      </c>
    </row>
    <row r="23" spans="1:43" x14ac:dyDescent="0.2">
      <c r="A23" s="88" t="s">
        <v>17</v>
      </c>
      <c r="B23" s="89">
        <v>43913</v>
      </c>
      <c r="C23" s="101"/>
      <c r="D23" s="101"/>
      <c r="E23" s="90">
        <v>20</v>
      </c>
      <c r="F23" s="145">
        <v>20</v>
      </c>
      <c r="G23" s="146" t="s">
        <v>211</v>
      </c>
      <c r="H23" s="145"/>
      <c r="I23" s="147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0">
        <f t="shared" si="3"/>
        <v>20</v>
      </c>
      <c r="AQ23" s="92">
        <f t="shared" si="1"/>
        <v>0</v>
      </c>
    </row>
    <row r="24" spans="1:43" x14ac:dyDescent="0.2">
      <c r="A24" s="88" t="s">
        <v>18</v>
      </c>
      <c r="B24" s="89">
        <v>44578</v>
      </c>
      <c r="C24" s="101"/>
      <c r="D24" s="101"/>
      <c r="E24" s="90">
        <v>16</v>
      </c>
      <c r="F24" s="131">
        <v>16</v>
      </c>
      <c r="G24" s="132" t="s">
        <v>173</v>
      </c>
      <c r="H24" s="133"/>
      <c r="I24" s="133"/>
      <c r="J24" s="123">
        <v>1</v>
      </c>
      <c r="K24" s="124">
        <v>45765</v>
      </c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>
        <f t="shared" si="3"/>
        <v>17</v>
      </c>
      <c r="AQ24" s="92">
        <f t="shared" si="1"/>
        <v>-1</v>
      </c>
    </row>
    <row r="25" spans="1:43" x14ac:dyDescent="0.2">
      <c r="A25" s="88" t="s">
        <v>19</v>
      </c>
      <c r="B25" s="89">
        <v>44277</v>
      </c>
      <c r="C25" s="101"/>
      <c r="D25" s="101">
        <v>16</v>
      </c>
      <c r="E25" s="90">
        <v>18</v>
      </c>
      <c r="F25" s="90">
        <v>2</v>
      </c>
      <c r="G25" s="91" t="s">
        <v>179</v>
      </c>
      <c r="H25" s="90">
        <v>1</v>
      </c>
      <c r="I25" s="91">
        <v>45746</v>
      </c>
      <c r="J25" s="90">
        <v>2</v>
      </c>
      <c r="K25" s="91" t="s">
        <v>135</v>
      </c>
      <c r="L25" s="90">
        <v>1</v>
      </c>
      <c r="M25" s="91">
        <v>45823</v>
      </c>
      <c r="N25" s="90">
        <v>7</v>
      </c>
      <c r="O25" s="94" t="s">
        <v>143</v>
      </c>
      <c r="P25" s="90">
        <v>1</v>
      </c>
      <c r="Q25" s="91">
        <v>45935</v>
      </c>
      <c r="R25" s="90">
        <v>1</v>
      </c>
      <c r="S25" s="91">
        <v>45994</v>
      </c>
      <c r="T25" s="90">
        <v>1</v>
      </c>
      <c r="U25" s="91">
        <v>45692</v>
      </c>
      <c r="V25" s="141">
        <v>1</v>
      </c>
      <c r="W25" s="142">
        <v>45745</v>
      </c>
      <c r="X25" s="123">
        <v>4</v>
      </c>
      <c r="Y25" s="124" t="s">
        <v>201</v>
      </c>
      <c r="Z25" s="90">
        <v>2</v>
      </c>
      <c r="AA25" s="91" t="s">
        <v>207</v>
      </c>
      <c r="AB25" s="90">
        <v>1</v>
      </c>
      <c r="AC25" s="91">
        <v>45845</v>
      </c>
      <c r="AD25" s="90">
        <v>1</v>
      </c>
      <c r="AE25" s="91">
        <v>45859</v>
      </c>
      <c r="AF25" s="90">
        <v>1</v>
      </c>
      <c r="AG25" s="91">
        <v>45877</v>
      </c>
      <c r="AH25" s="90">
        <v>2</v>
      </c>
      <c r="AI25" s="91" t="s">
        <v>221</v>
      </c>
      <c r="AJ25" s="90">
        <v>2</v>
      </c>
      <c r="AK25" s="91" t="s">
        <v>222</v>
      </c>
      <c r="AL25" s="90">
        <v>4</v>
      </c>
      <c r="AM25" s="90" t="s">
        <v>243</v>
      </c>
      <c r="AN25" s="90"/>
      <c r="AO25" s="90"/>
      <c r="AP25" s="90">
        <f t="shared" si="3"/>
        <v>34</v>
      </c>
      <c r="AQ25" s="92">
        <f t="shared" si="1"/>
        <v>0</v>
      </c>
    </row>
    <row r="26" spans="1:43" x14ac:dyDescent="0.2">
      <c r="A26" s="88" t="s">
        <v>21</v>
      </c>
      <c r="B26" s="89">
        <v>44293</v>
      </c>
      <c r="C26" s="101"/>
      <c r="D26" s="101">
        <v>16</v>
      </c>
      <c r="E26" s="90">
        <v>18</v>
      </c>
      <c r="F26" s="90">
        <v>2</v>
      </c>
      <c r="G26" s="91" t="s">
        <v>136</v>
      </c>
      <c r="H26" s="90">
        <v>3</v>
      </c>
      <c r="I26" s="91" t="s">
        <v>137</v>
      </c>
      <c r="J26" s="90">
        <v>2</v>
      </c>
      <c r="K26" s="91" t="s">
        <v>174</v>
      </c>
      <c r="L26" s="90">
        <v>1</v>
      </c>
      <c r="M26" s="91">
        <v>45454</v>
      </c>
      <c r="N26" s="90">
        <v>3</v>
      </c>
      <c r="O26" s="91">
        <v>45513</v>
      </c>
      <c r="P26" s="90">
        <v>1</v>
      </c>
      <c r="Q26" s="91">
        <v>45583</v>
      </c>
      <c r="R26" s="90">
        <v>0.5</v>
      </c>
      <c r="S26" s="91">
        <v>45615</v>
      </c>
      <c r="T26" s="131">
        <v>1</v>
      </c>
      <c r="U26" s="134">
        <v>45664</v>
      </c>
      <c r="V26" s="137">
        <v>1</v>
      </c>
      <c r="W26" s="138">
        <v>45694</v>
      </c>
      <c r="X26" s="139">
        <v>2.5</v>
      </c>
      <c r="Y26" s="140" t="s">
        <v>191</v>
      </c>
      <c r="Z26" s="123">
        <v>2</v>
      </c>
      <c r="AA26" s="124" t="s">
        <v>193</v>
      </c>
      <c r="AB26" s="126">
        <v>1</v>
      </c>
      <c r="AC26" s="127">
        <v>45782</v>
      </c>
      <c r="AD26" s="90">
        <v>1</v>
      </c>
      <c r="AE26" s="91">
        <v>45839</v>
      </c>
      <c r="AF26" s="90">
        <v>1</v>
      </c>
      <c r="AG26" s="91">
        <v>45859</v>
      </c>
      <c r="AH26" s="90">
        <v>2</v>
      </c>
      <c r="AI26" s="91" t="s">
        <v>226</v>
      </c>
      <c r="AJ26" s="90">
        <v>1</v>
      </c>
      <c r="AK26" s="91">
        <v>45964</v>
      </c>
      <c r="AL26" s="91"/>
      <c r="AM26" s="91"/>
      <c r="AN26" s="91"/>
      <c r="AO26" s="91"/>
      <c r="AP26" s="90">
        <f t="shared" si="3"/>
        <v>25</v>
      </c>
      <c r="AQ26" s="92">
        <f t="shared" si="1"/>
        <v>9</v>
      </c>
    </row>
    <row r="27" spans="1:43" x14ac:dyDescent="0.2">
      <c r="A27" s="88" t="s">
        <v>23</v>
      </c>
      <c r="B27" s="89">
        <v>44805</v>
      </c>
      <c r="C27" s="101"/>
      <c r="D27" s="101"/>
      <c r="E27" s="90">
        <v>16</v>
      </c>
      <c r="F27" s="112">
        <v>3</v>
      </c>
      <c r="G27" s="112" t="s">
        <v>203</v>
      </c>
      <c r="H27" s="90">
        <v>1</v>
      </c>
      <c r="I27" s="91">
        <v>45912</v>
      </c>
      <c r="J27" s="90">
        <v>2</v>
      </c>
      <c r="K27" s="90" t="s">
        <v>234</v>
      </c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>
        <f t="shared" si="3"/>
        <v>6</v>
      </c>
      <c r="AQ27" s="92">
        <f t="shared" si="1"/>
        <v>10</v>
      </c>
    </row>
    <row r="28" spans="1:43" x14ac:dyDescent="0.2">
      <c r="A28" s="88" t="s">
        <v>24</v>
      </c>
      <c r="B28" s="89">
        <v>44805</v>
      </c>
      <c r="C28" s="101">
        <v>12</v>
      </c>
      <c r="D28" s="101">
        <v>14</v>
      </c>
      <c r="E28" s="90">
        <v>16</v>
      </c>
      <c r="F28" s="90">
        <v>5</v>
      </c>
      <c r="G28" s="90" t="s">
        <v>125</v>
      </c>
      <c r="H28" s="139">
        <v>7</v>
      </c>
      <c r="I28" s="139" t="s">
        <v>188</v>
      </c>
      <c r="J28" s="123">
        <v>1</v>
      </c>
      <c r="K28" s="124">
        <v>45765</v>
      </c>
      <c r="L28" s="90">
        <v>13</v>
      </c>
      <c r="M28" s="90" t="s">
        <v>248</v>
      </c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>
        <f t="shared" si="3"/>
        <v>26</v>
      </c>
      <c r="AQ28" s="92">
        <f t="shared" si="1"/>
        <v>16</v>
      </c>
    </row>
    <row r="29" spans="1:43" x14ac:dyDescent="0.2">
      <c r="A29" s="88" t="s">
        <v>25</v>
      </c>
      <c r="B29" s="89">
        <v>44866</v>
      </c>
      <c r="C29" s="101">
        <v>12</v>
      </c>
      <c r="D29" s="101">
        <v>14</v>
      </c>
      <c r="E29" s="90"/>
      <c r="F29" s="90">
        <v>3</v>
      </c>
      <c r="G29" s="90" t="s">
        <v>102</v>
      </c>
      <c r="H29" s="90">
        <v>1</v>
      </c>
      <c r="I29" s="91">
        <v>45271</v>
      </c>
      <c r="J29" s="90">
        <v>2</v>
      </c>
      <c r="K29" s="91" t="s">
        <v>128</v>
      </c>
      <c r="L29" s="90">
        <v>1</v>
      </c>
      <c r="M29" s="91">
        <v>45418</v>
      </c>
      <c r="N29" s="90">
        <v>1</v>
      </c>
      <c r="O29" s="91">
        <v>45482</v>
      </c>
      <c r="P29" s="90">
        <v>1</v>
      </c>
      <c r="Q29" s="91">
        <v>45640</v>
      </c>
      <c r="R29" s="143">
        <v>1</v>
      </c>
      <c r="S29" s="144">
        <v>45752</v>
      </c>
      <c r="T29" s="123">
        <v>2</v>
      </c>
      <c r="U29" s="124" t="s">
        <v>193</v>
      </c>
      <c r="V29" s="90">
        <v>1</v>
      </c>
      <c r="W29" s="91">
        <v>45847</v>
      </c>
      <c r="X29" s="90">
        <v>1</v>
      </c>
      <c r="Y29" s="91">
        <v>45880</v>
      </c>
      <c r="Z29" s="90">
        <v>1</v>
      </c>
      <c r="AA29" s="91">
        <v>45881</v>
      </c>
      <c r="AB29" s="90">
        <v>2</v>
      </c>
      <c r="AC29" s="90" t="s">
        <v>229</v>
      </c>
      <c r="AD29" s="90">
        <v>2</v>
      </c>
      <c r="AE29" s="90" t="s">
        <v>230</v>
      </c>
      <c r="AF29" s="90">
        <v>2</v>
      </c>
      <c r="AG29" s="90" t="s">
        <v>235</v>
      </c>
      <c r="AH29" s="90">
        <v>1</v>
      </c>
      <c r="AI29" s="91">
        <v>45931</v>
      </c>
      <c r="AJ29" s="90">
        <v>1</v>
      </c>
      <c r="AK29" s="91">
        <v>45951</v>
      </c>
      <c r="AL29" s="90">
        <v>1</v>
      </c>
      <c r="AM29" s="91">
        <v>45969</v>
      </c>
      <c r="AN29" s="90">
        <v>1</v>
      </c>
      <c r="AO29" s="91">
        <v>45992</v>
      </c>
      <c r="AP29" s="90">
        <f t="shared" si="3"/>
        <v>25</v>
      </c>
      <c r="AQ29" s="92">
        <f t="shared" si="1"/>
        <v>1</v>
      </c>
    </row>
    <row r="30" spans="1:43" x14ac:dyDescent="0.2">
      <c r="A30" s="88" t="s">
        <v>27</v>
      </c>
      <c r="B30" s="89">
        <v>45185</v>
      </c>
      <c r="C30" s="101"/>
      <c r="D30" s="101">
        <v>12</v>
      </c>
      <c r="E30" s="90">
        <v>14</v>
      </c>
      <c r="F30" s="90">
        <v>1</v>
      </c>
      <c r="G30" s="91">
        <v>45535</v>
      </c>
      <c r="H30" s="90">
        <v>1</v>
      </c>
      <c r="I30" s="91">
        <v>45577</v>
      </c>
      <c r="J30" s="90">
        <v>1</v>
      </c>
      <c r="K30" s="91">
        <v>45626</v>
      </c>
      <c r="L30" s="90">
        <v>1</v>
      </c>
      <c r="M30" s="91">
        <v>45645</v>
      </c>
      <c r="N30" s="137">
        <v>1</v>
      </c>
      <c r="O30" s="138">
        <v>45696</v>
      </c>
      <c r="P30" s="139">
        <v>2</v>
      </c>
      <c r="Q30" s="139" t="s">
        <v>189</v>
      </c>
      <c r="R30" s="143">
        <v>1</v>
      </c>
      <c r="S30" s="144">
        <v>45752</v>
      </c>
      <c r="T30" s="123">
        <v>2</v>
      </c>
      <c r="U30" s="124" t="s">
        <v>193</v>
      </c>
      <c r="V30" s="90">
        <v>1</v>
      </c>
      <c r="W30" s="91">
        <v>45832</v>
      </c>
      <c r="X30" s="90">
        <v>1</v>
      </c>
      <c r="Y30" s="91">
        <v>45913</v>
      </c>
      <c r="Z30" s="90">
        <v>1</v>
      </c>
      <c r="AA30" s="91">
        <v>45960</v>
      </c>
      <c r="AB30" s="90">
        <v>1</v>
      </c>
      <c r="AC30" s="91">
        <v>45967</v>
      </c>
      <c r="AD30" s="90">
        <v>1</v>
      </c>
      <c r="AE30" s="91">
        <v>45969</v>
      </c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>
        <f t="shared" si="3"/>
        <v>15</v>
      </c>
      <c r="AQ30" s="92">
        <f t="shared" si="1"/>
        <v>11</v>
      </c>
    </row>
    <row r="31" spans="1:43" x14ac:dyDescent="0.2">
      <c r="A31" s="88" t="s">
        <v>117</v>
      </c>
      <c r="B31" s="89">
        <v>45231</v>
      </c>
      <c r="C31" s="101"/>
      <c r="D31" s="101">
        <v>12</v>
      </c>
      <c r="E31" s="90"/>
      <c r="F31" s="90">
        <v>1</v>
      </c>
      <c r="G31" s="91">
        <v>45554</v>
      </c>
      <c r="H31" s="90">
        <v>1</v>
      </c>
      <c r="I31" s="91">
        <v>45653</v>
      </c>
      <c r="J31" s="90">
        <v>2</v>
      </c>
      <c r="K31" s="90" t="s">
        <v>172</v>
      </c>
      <c r="L31" s="128">
        <v>2</v>
      </c>
      <c r="M31" s="128" t="s">
        <v>185</v>
      </c>
      <c r="N31" s="123">
        <v>1</v>
      </c>
      <c r="O31" s="124">
        <v>45776</v>
      </c>
      <c r="P31" s="126">
        <v>1</v>
      </c>
      <c r="Q31" s="127">
        <v>45787</v>
      </c>
      <c r="R31" s="90">
        <v>1</v>
      </c>
      <c r="S31" s="91">
        <v>45864</v>
      </c>
      <c r="T31" s="90">
        <v>0.5</v>
      </c>
      <c r="U31" s="91">
        <v>45868</v>
      </c>
      <c r="V31" s="90">
        <v>0.5</v>
      </c>
      <c r="W31" s="91">
        <v>45889</v>
      </c>
      <c r="X31" s="90">
        <v>7</v>
      </c>
      <c r="Y31" s="90" t="s">
        <v>236</v>
      </c>
      <c r="Z31" s="90">
        <v>1</v>
      </c>
      <c r="AA31" s="91">
        <v>45945</v>
      </c>
      <c r="AB31" s="90">
        <v>4</v>
      </c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>
        <f t="shared" si="3"/>
        <v>22</v>
      </c>
      <c r="AQ31" s="92">
        <f t="shared" si="1"/>
        <v>-10</v>
      </c>
    </row>
    <row r="32" spans="1:43" x14ac:dyDescent="0.2">
      <c r="A32" s="88" t="s">
        <v>119</v>
      </c>
      <c r="B32" s="89">
        <v>45287</v>
      </c>
      <c r="C32" s="101"/>
      <c r="D32" s="101">
        <v>12</v>
      </c>
      <c r="E32" s="90"/>
      <c r="F32" s="123">
        <v>1</v>
      </c>
      <c r="G32" s="124">
        <v>45765</v>
      </c>
      <c r="H32" s="126">
        <v>1</v>
      </c>
      <c r="I32" s="127">
        <v>45780</v>
      </c>
      <c r="J32" s="90">
        <v>1</v>
      </c>
      <c r="K32" s="91">
        <v>45885</v>
      </c>
      <c r="L32" s="90"/>
      <c r="M32" s="91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0">
        <f t="shared" si="3"/>
        <v>3</v>
      </c>
      <c r="AQ32" s="92">
        <f t="shared" ref="AQ32" si="4">C32+D32+E32-AP32</f>
        <v>9</v>
      </c>
    </row>
    <row r="33" spans="1:43" x14ac:dyDescent="0.2">
      <c r="A33" s="88" t="s">
        <v>163</v>
      </c>
      <c r="B33" s="89">
        <v>45451</v>
      </c>
      <c r="C33" s="101"/>
      <c r="D33" s="101"/>
      <c r="E33" s="90">
        <v>12</v>
      </c>
      <c r="F33" s="123">
        <v>2</v>
      </c>
      <c r="G33" s="124" t="s">
        <v>193</v>
      </c>
      <c r="H33" s="90">
        <v>1</v>
      </c>
      <c r="I33" s="91">
        <v>45853</v>
      </c>
      <c r="J33" s="90">
        <v>4</v>
      </c>
      <c r="K33" s="90" t="s">
        <v>218</v>
      </c>
      <c r="L33" s="90">
        <v>1</v>
      </c>
      <c r="M33" s="91">
        <v>45883</v>
      </c>
      <c r="N33" s="90">
        <v>1</v>
      </c>
      <c r="O33" s="91">
        <v>45952</v>
      </c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0">
        <f t="shared" si="3"/>
        <v>9</v>
      </c>
      <c r="AQ33" s="92">
        <f t="shared" si="1"/>
        <v>3</v>
      </c>
    </row>
    <row r="34" spans="1:43" x14ac:dyDescent="0.2">
      <c r="A34" s="88" t="s">
        <v>164</v>
      </c>
      <c r="B34" s="89">
        <v>45593</v>
      </c>
      <c r="C34" s="101"/>
      <c r="D34" s="101"/>
      <c r="E34" s="90">
        <v>12</v>
      </c>
      <c r="F34" s="123">
        <v>2</v>
      </c>
      <c r="G34" s="124" t="s">
        <v>193</v>
      </c>
      <c r="H34" s="90">
        <v>1</v>
      </c>
      <c r="I34" s="91">
        <v>45869</v>
      </c>
      <c r="J34" s="90">
        <v>1</v>
      </c>
      <c r="K34" s="91">
        <v>45945</v>
      </c>
      <c r="L34" s="90">
        <v>1</v>
      </c>
      <c r="M34" s="91">
        <v>45972</v>
      </c>
      <c r="N34" s="90">
        <v>1</v>
      </c>
      <c r="O34" s="91">
        <v>45992</v>
      </c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0">
        <f t="shared" si="3"/>
        <v>6</v>
      </c>
      <c r="AQ34" s="92">
        <f t="shared" si="1"/>
        <v>6</v>
      </c>
    </row>
    <row r="35" spans="1:43" x14ac:dyDescent="0.2">
      <c r="A35" s="88" t="s">
        <v>196</v>
      </c>
      <c r="B35" s="89">
        <v>45622</v>
      </c>
      <c r="C35" s="101"/>
      <c r="D35" s="101"/>
      <c r="E35" s="90">
        <v>12</v>
      </c>
      <c r="F35" s="123">
        <v>2</v>
      </c>
      <c r="G35" s="124" t="s">
        <v>193</v>
      </c>
      <c r="H35" s="123">
        <v>1</v>
      </c>
      <c r="I35" s="124">
        <v>45773</v>
      </c>
      <c r="J35" s="126">
        <v>0.5</v>
      </c>
      <c r="K35" s="127">
        <v>45786</v>
      </c>
      <c r="L35" s="90">
        <v>0.5</v>
      </c>
      <c r="M35" s="91">
        <v>45828</v>
      </c>
      <c r="N35" s="90">
        <v>1</v>
      </c>
      <c r="O35" s="91">
        <v>45908</v>
      </c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0">
        <f t="shared" si="3"/>
        <v>5</v>
      </c>
      <c r="AQ35" s="92">
        <f t="shared" si="1"/>
        <v>7</v>
      </c>
    </row>
    <row r="36" spans="1:43" x14ac:dyDescent="0.2">
      <c r="A36" s="88" t="s">
        <v>28</v>
      </c>
      <c r="B36" s="89">
        <v>42627</v>
      </c>
      <c r="C36" s="101"/>
      <c r="D36" s="101">
        <v>22</v>
      </c>
      <c r="E36" s="90"/>
      <c r="F36" s="137">
        <v>2</v>
      </c>
      <c r="G36" s="138" t="s">
        <v>180</v>
      </c>
      <c r="H36" s="90">
        <v>2</v>
      </c>
      <c r="I36" s="90" t="s">
        <v>215</v>
      </c>
      <c r="J36" s="90">
        <v>18</v>
      </c>
      <c r="K36" s="90" t="s">
        <v>216</v>
      </c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0"/>
      <c r="AO36" s="90"/>
      <c r="AP36" s="90">
        <f t="shared" si="3"/>
        <v>22</v>
      </c>
      <c r="AQ36" s="92">
        <f t="shared" si="1"/>
        <v>0</v>
      </c>
    </row>
    <row r="37" spans="1:43" x14ac:dyDescent="0.2">
      <c r="A37" s="88" t="s">
        <v>29</v>
      </c>
      <c r="B37" s="89">
        <v>44957</v>
      </c>
      <c r="C37" s="101"/>
      <c r="D37" s="101"/>
      <c r="E37" s="90">
        <v>14</v>
      </c>
      <c r="F37" s="123">
        <v>1</v>
      </c>
      <c r="G37" s="124">
        <v>45773</v>
      </c>
      <c r="H37" s="90">
        <v>13</v>
      </c>
      <c r="I37" s="150" t="s">
        <v>237</v>
      </c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>
        <f t="shared" si="3"/>
        <v>14</v>
      </c>
      <c r="AQ37" s="92">
        <f t="shared" si="1"/>
        <v>0</v>
      </c>
    </row>
    <row r="38" spans="1:43" x14ac:dyDescent="0.2">
      <c r="A38" s="88" t="s">
        <v>165</v>
      </c>
      <c r="B38" s="89">
        <v>45549</v>
      </c>
      <c r="C38" s="101"/>
      <c r="D38" s="101"/>
      <c r="E38" s="90">
        <v>12</v>
      </c>
      <c r="F38" s="90">
        <v>12</v>
      </c>
      <c r="G38" s="90" t="s">
        <v>240</v>
      </c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0"/>
      <c r="AO38" s="90"/>
      <c r="AP38" s="90">
        <f t="shared" si="3"/>
        <v>12</v>
      </c>
      <c r="AQ38" s="92">
        <f t="shared" si="1"/>
        <v>0</v>
      </c>
    </row>
    <row r="39" spans="1:43" x14ac:dyDescent="0.2">
      <c r="A39" s="88" t="s">
        <v>31</v>
      </c>
      <c r="B39" s="89">
        <v>44608</v>
      </c>
      <c r="C39" s="101"/>
      <c r="D39" s="101"/>
      <c r="E39" s="90">
        <v>16</v>
      </c>
      <c r="F39" s="139">
        <v>1</v>
      </c>
      <c r="G39" s="140">
        <v>45723</v>
      </c>
      <c r="H39" s="141">
        <v>1</v>
      </c>
      <c r="I39" s="142">
        <v>45742</v>
      </c>
      <c r="J39" s="123">
        <v>2.5</v>
      </c>
      <c r="K39" s="125" t="s">
        <v>197</v>
      </c>
      <c r="L39" s="90">
        <v>3</v>
      </c>
      <c r="M39" s="91" t="s">
        <v>208</v>
      </c>
      <c r="N39" s="90">
        <v>1.5</v>
      </c>
      <c r="O39" s="91" t="s">
        <v>221</v>
      </c>
      <c r="P39" s="90">
        <v>1</v>
      </c>
      <c r="Q39" s="91">
        <v>45894</v>
      </c>
      <c r="R39" s="90">
        <v>6</v>
      </c>
      <c r="S39" s="148" t="s">
        <v>224</v>
      </c>
      <c r="T39" s="90">
        <v>1</v>
      </c>
      <c r="U39" s="91">
        <v>46008</v>
      </c>
      <c r="V39" s="90">
        <v>1</v>
      </c>
      <c r="W39" s="91">
        <v>46018</v>
      </c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90">
        <f t="shared" si="3"/>
        <v>18</v>
      </c>
      <c r="AQ39" s="92">
        <f t="shared" si="1"/>
        <v>-2</v>
      </c>
    </row>
    <row r="40" spans="1:43" x14ac:dyDescent="0.2">
      <c r="A40" s="88" t="s">
        <v>33</v>
      </c>
      <c r="B40" s="89">
        <v>43481</v>
      </c>
      <c r="C40" s="101"/>
      <c r="D40" s="101"/>
      <c r="E40" s="90">
        <v>22</v>
      </c>
      <c r="F40" s="128">
        <v>4</v>
      </c>
      <c r="G40" s="129" t="s">
        <v>186</v>
      </c>
      <c r="H40" s="90">
        <v>6</v>
      </c>
      <c r="I40" s="91" t="s">
        <v>217</v>
      </c>
      <c r="J40" s="90">
        <v>0.5</v>
      </c>
      <c r="K40" s="91">
        <v>45961</v>
      </c>
      <c r="L40" s="90">
        <v>6</v>
      </c>
      <c r="M40" s="90" t="s">
        <v>244</v>
      </c>
      <c r="N40" s="90">
        <v>0.5</v>
      </c>
      <c r="O40" s="91">
        <v>45981</v>
      </c>
      <c r="P40" s="90">
        <v>0.5</v>
      </c>
      <c r="Q40" s="91">
        <v>46001</v>
      </c>
      <c r="R40" s="90">
        <v>0.5</v>
      </c>
      <c r="S40" s="91">
        <v>46008</v>
      </c>
      <c r="T40" s="90">
        <v>0.5</v>
      </c>
      <c r="U40" s="91">
        <v>46017</v>
      </c>
      <c r="V40" s="90">
        <v>3.5</v>
      </c>
      <c r="W40" s="148" t="s">
        <v>252</v>
      </c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>
        <f t="shared" si="3"/>
        <v>22</v>
      </c>
      <c r="AQ40" s="92">
        <f t="shared" si="1"/>
        <v>0</v>
      </c>
    </row>
    <row r="41" spans="1:43" x14ac:dyDescent="0.2">
      <c r="A41" s="88" t="s">
        <v>37</v>
      </c>
      <c r="B41" s="89">
        <v>44927</v>
      </c>
      <c r="C41" s="101"/>
      <c r="D41" s="101"/>
      <c r="E41" s="90">
        <v>14</v>
      </c>
      <c r="F41" s="131">
        <v>1</v>
      </c>
      <c r="G41" s="134">
        <v>45671</v>
      </c>
      <c r="H41" s="139">
        <v>1</v>
      </c>
      <c r="I41" s="140">
        <v>45722</v>
      </c>
      <c r="J41" s="141">
        <v>0.5</v>
      </c>
      <c r="K41" s="142">
        <v>45747</v>
      </c>
      <c r="L41" s="143">
        <v>4</v>
      </c>
      <c r="M41" s="143" t="s">
        <v>192</v>
      </c>
      <c r="N41" s="126">
        <v>2</v>
      </c>
      <c r="O41" s="127" t="s">
        <v>202</v>
      </c>
      <c r="P41" s="90">
        <v>1</v>
      </c>
      <c r="Q41" s="91">
        <v>45845</v>
      </c>
      <c r="R41" s="56"/>
      <c r="S41" s="57"/>
      <c r="T41" s="56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90">
        <f t="shared" si="3"/>
        <v>9.5</v>
      </c>
      <c r="AQ41" s="92">
        <f t="shared" si="1"/>
        <v>4.5</v>
      </c>
    </row>
    <row r="42" spans="1:43" x14ac:dyDescent="0.2">
      <c r="A42" s="88" t="s">
        <v>118</v>
      </c>
      <c r="B42" s="89">
        <v>45279</v>
      </c>
      <c r="C42" s="101"/>
      <c r="D42" s="101">
        <v>12</v>
      </c>
      <c r="E42" s="90"/>
      <c r="F42" s="90">
        <v>1</v>
      </c>
      <c r="G42" s="91">
        <v>45455</v>
      </c>
      <c r="H42" s="90">
        <v>1</v>
      </c>
      <c r="I42" s="91">
        <v>45530</v>
      </c>
      <c r="J42" s="90">
        <v>1</v>
      </c>
      <c r="K42" s="91">
        <v>45595</v>
      </c>
      <c r="L42" s="123">
        <v>2</v>
      </c>
      <c r="M42" s="124" t="s">
        <v>198</v>
      </c>
      <c r="N42" s="123">
        <v>1</v>
      </c>
      <c r="O42" s="124">
        <v>45775</v>
      </c>
      <c r="P42" s="112">
        <v>6</v>
      </c>
      <c r="Q42" s="112" t="s">
        <v>204</v>
      </c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0"/>
      <c r="AO42" s="90"/>
      <c r="AP42" s="90">
        <f>F42+H42+J42+L42+N42+P42+R42+T42+V42+X42+Z42+AB42+AD42+AF42+AH42+AJ42+AL42+AN42</f>
        <v>12</v>
      </c>
      <c r="AQ42" s="92">
        <f t="shared" si="1"/>
        <v>0</v>
      </c>
    </row>
    <row r="43" spans="1:43" x14ac:dyDescent="0.2">
      <c r="A43" s="88" t="s">
        <v>166</v>
      </c>
      <c r="B43" s="89">
        <v>45446</v>
      </c>
      <c r="C43" s="101"/>
      <c r="D43" s="101"/>
      <c r="E43" s="90">
        <v>12</v>
      </c>
      <c r="F43" s="90">
        <v>9</v>
      </c>
      <c r="G43" s="90" t="s">
        <v>206</v>
      </c>
      <c r="H43" s="90">
        <v>1</v>
      </c>
      <c r="I43" s="91">
        <v>45840</v>
      </c>
      <c r="J43" s="90">
        <v>2</v>
      </c>
      <c r="K43" s="91" t="s">
        <v>219</v>
      </c>
      <c r="L43" s="90">
        <v>0.5</v>
      </c>
      <c r="M43" s="91">
        <v>45919</v>
      </c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90"/>
      <c r="AG43" s="90"/>
      <c r="AH43" s="90"/>
      <c r="AI43" s="90"/>
      <c r="AJ43" s="90"/>
      <c r="AK43" s="90"/>
      <c r="AL43" s="90"/>
      <c r="AM43" s="90"/>
      <c r="AN43" s="90"/>
      <c r="AO43" s="90"/>
      <c r="AP43" s="90">
        <f t="shared" si="3"/>
        <v>12.5</v>
      </c>
      <c r="AQ43" s="92">
        <f t="shared" si="1"/>
        <v>-0.5</v>
      </c>
    </row>
    <row r="44" spans="1:43" x14ac:dyDescent="0.2">
      <c r="A44" s="88" t="s">
        <v>176</v>
      </c>
      <c r="B44" s="89">
        <v>45623</v>
      </c>
      <c r="C44" s="101"/>
      <c r="D44" s="101"/>
      <c r="E44" s="90">
        <v>12</v>
      </c>
      <c r="F44" s="90"/>
      <c r="G44" s="91"/>
      <c r="H44" s="90"/>
      <c r="I44" s="91"/>
      <c r="J44" s="90"/>
      <c r="K44" s="91"/>
      <c r="L44" s="90"/>
      <c r="M44" s="91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  <c r="AE44" s="90"/>
      <c r="AF44" s="90"/>
      <c r="AG44" s="90"/>
      <c r="AH44" s="90"/>
      <c r="AI44" s="90"/>
      <c r="AJ44" s="90"/>
      <c r="AK44" s="90"/>
      <c r="AL44" s="90"/>
      <c r="AM44" s="90"/>
      <c r="AN44" s="90"/>
      <c r="AO44" s="90"/>
      <c r="AP44" s="90">
        <f t="shared" si="3"/>
        <v>0</v>
      </c>
      <c r="AQ44" s="92">
        <f t="shared" si="1"/>
        <v>12</v>
      </c>
    </row>
    <row r="45" spans="1:43" x14ac:dyDescent="0.2">
      <c r="A45" s="88" t="s">
        <v>177</v>
      </c>
      <c r="B45" s="89">
        <v>45631</v>
      </c>
      <c r="C45" s="101"/>
      <c r="D45" s="101"/>
      <c r="E45" s="90">
        <v>12</v>
      </c>
      <c r="F45" s="90"/>
      <c r="G45" s="91"/>
      <c r="H45" s="90"/>
      <c r="I45" s="91"/>
      <c r="J45" s="90"/>
      <c r="K45" s="91"/>
      <c r="L45" s="90"/>
      <c r="M45" s="91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90"/>
      <c r="AG45" s="90"/>
      <c r="AH45" s="90"/>
      <c r="AI45" s="90"/>
      <c r="AJ45" s="90"/>
      <c r="AK45" s="90"/>
      <c r="AL45" s="90"/>
      <c r="AM45" s="90"/>
      <c r="AN45" s="90"/>
      <c r="AO45" s="90"/>
      <c r="AP45" s="90">
        <f t="shared" si="3"/>
        <v>0</v>
      </c>
      <c r="AQ45" s="92">
        <f t="shared" si="1"/>
        <v>12</v>
      </c>
    </row>
    <row r="46" spans="1:43" x14ac:dyDescent="0.2">
      <c r="A46" s="88" t="s">
        <v>199</v>
      </c>
      <c r="B46" s="89">
        <v>40571</v>
      </c>
      <c r="C46" s="101"/>
      <c r="D46" s="101"/>
      <c r="E46" s="90">
        <v>24</v>
      </c>
      <c r="F46" s="123">
        <v>1</v>
      </c>
      <c r="G46" s="124">
        <v>45766</v>
      </c>
      <c r="H46" s="90">
        <v>23</v>
      </c>
      <c r="I46" s="91" t="s">
        <v>209</v>
      </c>
      <c r="J46" s="90"/>
      <c r="K46" s="91"/>
      <c r="L46" s="90"/>
      <c r="M46" s="91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  <c r="AF46" s="90"/>
      <c r="AG46" s="90"/>
      <c r="AH46" s="90"/>
      <c r="AI46" s="90"/>
      <c r="AJ46" s="90"/>
      <c r="AK46" s="90"/>
      <c r="AL46" s="90"/>
      <c r="AM46" s="90"/>
      <c r="AN46" s="90"/>
      <c r="AO46" s="90"/>
      <c r="AP46" s="90">
        <f t="shared" si="3"/>
        <v>24</v>
      </c>
      <c r="AQ46" s="92">
        <f t="shared" si="1"/>
        <v>0</v>
      </c>
    </row>
    <row r="47" spans="1:43" x14ac:dyDescent="0.2">
      <c r="A47" s="88" t="s">
        <v>38</v>
      </c>
      <c r="B47" s="89">
        <v>44099</v>
      </c>
      <c r="C47" s="101"/>
      <c r="D47" s="101"/>
      <c r="E47" s="90">
        <v>20</v>
      </c>
      <c r="F47" s="56"/>
      <c r="G47" s="57"/>
      <c r="H47" s="56"/>
      <c r="I47" s="67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90"/>
      <c r="AK47" s="90"/>
      <c r="AL47" s="90"/>
      <c r="AM47" s="90"/>
      <c r="AN47" s="90"/>
      <c r="AO47" s="90"/>
      <c r="AP47" s="90">
        <f t="shared" si="3"/>
        <v>0</v>
      </c>
      <c r="AQ47" s="92">
        <f t="shared" si="1"/>
        <v>20</v>
      </c>
    </row>
    <row r="48" spans="1:43" ht="12.75" thickBot="1" x14ac:dyDescent="0.25">
      <c r="A48" s="95" t="s">
        <v>200</v>
      </c>
      <c r="B48" s="96">
        <v>45680</v>
      </c>
      <c r="C48" s="103"/>
      <c r="D48" s="103"/>
      <c r="E48" s="97"/>
      <c r="F48" s="97">
        <v>1</v>
      </c>
      <c r="G48" s="151">
        <v>46382</v>
      </c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  <c r="AG48" s="97"/>
      <c r="AH48" s="97"/>
      <c r="AI48" s="97"/>
      <c r="AJ48" s="97"/>
      <c r="AK48" s="97"/>
      <c r="AL48" s="97"/>
      <c r="AM48" s="97"/>
      <c r="AN48" s="97"/>
      <c r="AO48" s="97"/>
      <c r="AP48" s="97">
        <f t="shared" si="3"/>
        <v>1</v>
      </c>
      <c r="AQ48" s="98">
        <f t="shared" si="1"/>
        <v>-1</v>
      </c>
    </row>
    <row r="49" spans="2:43" x14ac:dyDescent="0.2">
      <c r="AP49" s="117">
        <f>SUM(AP5:AP48)</f>
        <v>707</v>
      </c>
      <c r="AQ49" s="117">
        <f>SUM(AQ5:AQ48)</f>
        <v>209</v>
      </c>
    </row>
    <row r="50" spans="2:43" x14ac:dyDescent="0.2">
      <c r="AP50" s="74"/>
      <c r="AQ50" s="74"/>
    </row>
    <row r="51" spans="2:43" x14ac:dyDescent="0.2">
      <c r="B51" s="93"/>
      <c r="C51" s="93"/>
      <c r="D51" s="93"/>
      <c r="AP51" s="164"/>
      <c r="AQ51" s="164"/>
    </row>
  </sheetData>
  <mergeCells count="2">
    <mergeCell ref="F2:U2"/>
    <mergeCell ref="AP51:AQ51"/>
  </mergeCells>
  <pageMargins left="3.937007874015748E-2" right="3.937007874015748E-2" top="3.937007874015748E-2" bottom="3.937007874015748E-2" header="0.31496062992125984" footer="0.31496062992125984"/>
  <pageSetup orientation="landscape" horizontalDpi="300" verticalDpi="300" r:id="rId1"/>
  <ignoredErrors>
    <ignoredError sqref="G42:K42 G6 G16:H16 H38:S38 J37:S37 G8 P34:S34 L36:S36 F36:G36 H13 I5 Q7 K10 I13 I16:K16 N14:S14 J13:L13 I17:K17 I14:K14 T14:U14 L16:U16 M17 L24:S24 N28:O28 G28 G29:Q29 K20 M31 G31:K31 Q30 G30:M30 J26 G25:K25 G26:I26 K26:K27 G20:I20 L26:S26 J23:S23 H24:I24 R25 G18 T18:U18 L25:Q25 S25:U25 G24 J24:K24 H23:I23 G22:K22 T23:U23 H28:K28 T27:U27 G21 J20 L31 N30:P30 R30:U30 L20:Q20 R29:U29 T28:U28 T24:U24 K43 P33:S33 G33:G35 M42 AA25:AA26 R42:S42 M9 U20 K12 O41 N39:O39 AI25:AI26 Q28:S28 I36 P21:U21 AK25 W17 AC29:AE29 L27:S27 AG29 N43:S43 AK20 Y17 U12" twoDigitTextYear="1"/>
    <ignoredError sqref="AP15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D864B-F631-4896-95B4-E7AF6D006FFE}">
  <dimension ref="A1:AQ47"/>
  <sheetViews>
    <sheetView tabSelected="1" zoomScale="90" zoomScaleNormal="90" workbookViewId="0"/>
  </sheetViews>
  <sheetFormatPr baseColWidth="10" defaultRowHeight="12" x14ac:dyDescent="0.2"/>
  <cols>
    <col min="1" max="1" width="35.42578125" style="93" bestFit="1" customWidth="1"/>
    <col min="2" max="2" width="9.85546875" style="99" bestFit="1" customWidth="1"/>
    <col min="3" max="4" width="5" style="99" customWidth="1"/>
    <col min="5" max="5" width="5" style="93" customWidth="1"/>
    <col min="6" max="6" width="4.7109375" style="93" bestFit="1" customWidth="1"/>
    <col min="7" max="7" width="16.140625" style="93" bestFit="1" customWidth="1"/>
    <col min="8" max="8" width="4.7109375" style="93" bestFit="1" customWidth="1"/>
    <col min="9" max="9" width="14.5703125" style="93" bestFit="1" customWidth="1"/>
    <col min="10" max="10" width="4.7109375" style="93" bestFit="1" customWidth="1"/>
    <col min="11" max="11" width="12.42578125" style="93" bestFit="1" customWidth="1"/>
    <col min="12" max="12" width="4.7109375" style="93" bestFit="1" customWidth="1"/>
    <col min="13" max="13" width="16" style="93" bestFit="1" customWidth="1"/>
    <col min="14" max="14" width="4.7109375" style="93" bestFit="1" customWidth="1"/>
    <col min="15" max="15" width="11.42578125" style="93" bestFit="1"/>
    <col min="16" max="16" width="4.7109375" style="93" bestFit="1" customWidth="1"/>
    <col min="17" max="17" width="15.85546875" style="93" bestFit="1" customWidth="1"/>
    <col min="18" max="18" width="4.7109375" style="93" bestFit="1" customWidth="1"/>
    <col min="19" max="19" width="15.7109375" style="93" bestFit="1" customWidth="1"/>
    <col min="20" max="20" width="4.7109375" style="93" bestFit="1" customWidth="1"/>
    <col min="21" max="21" width="15.28515625" style="93" bestFit="1" customWidth="1"/>
    <col min="22" max="22" width="4" style="93" bestFit="1" customWidth="1"/>
    <col min="23" max="23" width="16.140625" style="93" bestFit="1" customWidth="1"/>
    <col min="24" max="24" width="3.85546875" style="93" customWidth="1"/>
    <col min="25" max="25" width="11.85546875" style="93" customWidth="1"/>
    <col min="26" max="26" width="3.85546875" style="93" customWidth="1"/>
    <col min="27" max="27" width="15.7109375" style="93" bestFit="1" customWidth="1"/>
    <col min="28" max="28" width="3.7109375" style="93" customWidth="1"/>
    <col min="29" max="29" width="11.85546875" style="93" customWidth="1"/>
    <col min="30" max="30" width="3.7109375" style="93" customWidth="1"/>
    <col min="31" max="31" width="14.85546875" style="93" bestFit="1" customWidth="1"/>
    <col min="32" max="32" width="3.5703125" style="93" customWidth="1"/>
    <col min="33" max="33" width="11.85546875" style="93" customWidth="1"/>
    <col min="34" max="34" width="3.5703125" style="93" customWidth="1"/>
    <col min="35" max="35" width="11.85546875" style="93" customWidth="1"/>
    <col min="36" max="36" width="3.5703125" style="93" customWidth="1"/>
    <col min="37" max="37" width="10" style="93" bestFit="1" customWidth="1"/>
    <col min="38" max="38" width="3.5703125" style="93" customWidth="1"/>
    <col min="39" max="39" width="12.140625" style="93" bestFit="1" customWidth="1"/>
    <col min="40" max="40" width="3.5703125" style="93" customWidth="1"/>
    <col min="41" max="41" width="11.28515625" style="93" customWidth="1"/>
    <col min="42" max="42" width="8.7109375" style="93" bestFit="1" customWidth="1"/>
    <col min="43" max="43" width="11.140625" style="93" bestFit="1" customWidth="1"/>
    <col min="44" max="16384" width="11.42578125" style="93"/>
  </cols>
  <sheetData>
    <row r="1" spans="1:43" s="74" customFormat="1" x14ac:dyDescent="0.2">
      <c r="A1" s="155" t="s">
        <v>120</v>
      </c>
      <c r="B1" s="70"/>
      <c r="C1" s="166" t="s">
        <v>257</v>
      </c>
      <c r="D1" s="167"/>
      <c r="E1" s="168"/>
      <c r="F1" s="165" t="s">
        <v>78</v>
      </c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70"/>
      <c r="W1" s="122"/>
      <c r="X1" s="70"/>
      <c r="Y1" s="122"/>
      <c r="Z1" s="122"/>
      <c r="AA1" s="122"/>
      <c r="AB1" s="70"/>
      <c r="AC1" s="122"/>
      <c r="AD1" s="122"/>
      <c r="AE1" s="122"/>
      <c r="AF1" s="122"/>
      <c r="AG1" s="122"/>
      <c r="AH1" s="122"/>
      <c r="AI1" s="122"/>
      <c r="AJ1" s="122"/>
      <c r="AK1" s="122"/>
      <c r="AL1" s="122"/>
      <c r="AM1" s="122"/>
      <c r="AN1" s="70"/>
      <c r="AO1" s="122"/>
      <c r="AP1" s="156" t="s">
        <v>187</v>
      </c>
      <c r="AQ1" s="157" t="s">
        <v>83</v>
      </c>
    </row>
    <row r="2" spans="1:43" s="74" customFormat="1" x14ac:dyDescent="0.2">
      <c r="A2" s="79"/>
      <c r="B2" s="77" t="s">
        <v>81</v>
      </c>
      <c r="C2" s="77"/>
      <c r="D2" s="82"/>
      <c r="E2" s="119"/>
      <c r="F2" s="80"/>
      <c r="G2" s="81"/>
      <c r="H2" s="80"/>
      <c r="I2" s="81"/>
      <c r="J2" s="80"/>
      <c r="K2" s="81"/>
      <c r="L2" s="80"/>
      <c r="M2" s="81"/>
      <c r="N2" s="80"/>
      <c r="O2" s="81"/>
      <c r="P2" s="80"/>
      <c r="Q2" s="81"/>
      <c r="R2" s="80"/>
      <c r="S2" s="81"/>
      <c r="T2" s="80"/>
      <c r="U2" s="80"/>
      <c r="V2" s="80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82" t="s">
        <v>80</v>
      </c>
      <c r="AQ2" s="83" t="s">
        <v>106</v>
      </c>
    </row>
    <row r="3" spans="1:43" s="74" customFormat="1" x14ac:dyDescent="0.2">
      <c r="A3" s="84"/>
      <c r="B3" s="85" t="s">
        <v>82</v>
      </c>
      <c r="C3" s="85">
        <v>2024</v>
      </c>
      <c r="D3" s="85">
        <v>2025</v>
      </c>
      <c r="E3" s="85">
        <v>2026</v>
      </c>
      <c r="F3" s="85" t="s">
        <v>83</v>
      </c>
      <c r="G3" s="86" t="s">
        <v>84</v>
      </c>
      <c r="H3" s="85" t="s">
        <v>83</v>
      </c>
      <c r="I3" s="86" t="s">
        <v>84</v>
      </c>
      <c r="J3" s="85" t="s">
        <v>83</v>
      </c>
      <c r="K3" s="86" t="s">
        <v>84</v>
      </c>
      <c r="L3" s="85" t="s">
        <v>83</v>
      </c>
      <c r="M3" s="86" t="s">
        <v>84</v>
      </c>
      <c r="N3" s="85" t="s">
        <v>83</v>
      </c>
      <c r="O3" s="86" t="s">
        <v>84</v>
      </c>
      <c r="P3" s="85" t="s">
        <v>83</v>
      </c>
      <c r="Q3" s="86" t="s">
        <v>84</v>
      </c>
      <c r="R3" s="85" t="s">
        <v>83</v>
      </c>
      <c r="S3" s="86" t="s">
        <v>84</v>
      </c>
      <c r="T3" s="85" t="s">
        <v>83</v>
      </c>
      <c r="U3" s="85" t="s">
        <v>84</v>
      </c>
      <c r="V3" s="85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7"/>
      <c r="AQ3" s="83" t="s">
        <v>271</v>
      </c>
    </row>
    <row r="4" spans="1:43" x14ac:dyDescent="0.2">
      <c r="A4" s="88" t="s">
        <v>0</v>
      </c>
      <c r="B4" s="89">
        <v>38717</v>
      </c>
      <c r="C4" s="101"/>
      <c r="D4" s="101"/>
      <c r="E4" s="90">
        <v>28</v>
      </c>
      <c r="F4" s="90">
        <v>2</v>
      </c>
      <c r="G4" s="90" t="s">
        <v>268</v>
      </c>
      <c r="H4" s="90">
        <v>0.5</v>
      </c>
      <c r="I4" s="91">
        <v>46126</v>
      </c>
      <c r="J4" s="90"/>
      <c r="K4" s="15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>
        <f t="shared" ref="AP4:AP12" si="0">F4+H4+J4+L4+N4+P4+R4+T4+V4+X4+Z4+AB4+AD4+AF4+AH4+AJ4+AL4+AN4</f>
        <v>2.5</v>
      </c>
      <c r="AQ4" s="92">
        <f>C4+D4+E4-AP4</f>
        <v>25.5</v>
      </c>
    </row>
    <row r="5" spans="1:43" x14ac:dyDescent="0.2">
      <c r="A5" s="88" t="s">
        <v>1</v>
      </c>
      <c r="B5" s="89">
        <v>41276</v>
      </c>
      <c r="C5" s="101"/>
      <c r="D5" s="101"/>
      <c r="E5" s="90">
        <v>24</v>
      </c>
      <c r="F5" s="90">
        <v>0.5</v>
      </c>
      <c r="G5" s="91">
        <v>46083</v>
      </c>
      <c r="H5" s="90">
        <v>0.5</v>
      </c>
      <c r="I5" s="91">
        <v>46084</v>
      </c>
      <c r="J5" s="90">
        <v>2</v>
      </c>
      <c r="K5" s="90" t="s">
        <v>268</v>
      </c>
      <c r="L5" s="90"/>
      <c r="M5" s="149"/>
      <c r="N5" s="90"/>
      <c r="O5" s="91"/>
      <c r="P5" s="90"/>
      <c r="Q5" s="91"/>
      <c r="R5" s="90"/>
      <c r="S5" s="91"/>
      <c r="T5" s="90"/>
      <c r="U5" s="91"/>
      <c r="V5" s="90"/>
      <c r="W5" s="91"/>
      <c r="X5" s="90"/>
      <c r="Y5" s="91"/>
      <c r="Z5" s="90"/>
      <c r="AA5" s="90"/>
      <c r="AB5" s="90"/>
      <c r="AC5" s="91"/>
      <c r="AD5" s="90"/>
      <c r="AE5" s="148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0">
        <f t="shared" si="0"/>
        <v>3</v>
      </c>
      <c r="AQ5" s="92">
        <f>C5+D5+E5-AP5</f>
        <v>21</v>
      </c>
    </row>
    <row r="6" spans="1:43" x14ac:dyDescent="0.2">
      <c r="A6" s="88" t="s">
        <v>2</v>
      </c>
      <c r="B6" s="89">
        <v>42247</v>
      </c>
      <c r="C6" s="101"/>
      <c r="D6" s="101">
        <v>22</v>
      </c>
      <c r="E6" s="90"/>
      <c r="F6" s="113">
        <v>0.5</v>
      </c>
      <c r="G6" s="116">
        <v>45887</v>
      </c>
      <c r="H6" s="113">
        <v>0.5</v>
      </c>
      <c r="I6" s="116">
        <v>45918</v>
      </c>
      <c r="J6" s="113">
        <v>0.5</v>
      </c>
      <c r="K6" s="116">
        <v>45946</v>
      </c>
      <c r="L6" s="113">
        <v>1</v>
      </c>
      <c r="M6" s="116">
        <v>45976</v>
      </c>
      <c r="N6" s="113">
        <v>0.5</v>
      </c>
      <c r="O6" s="116">
        <v>45979</v>
      </c>
      <c r="P6" s="113">
        <v>0.5</v>
      </c>
      <c r="Q6" s="116">
        <v>46008</v>
      </c>
      <c r="R6" s="56">
        <v>1</v>
      </c>
      <c r="S6" s="57">
        <v>46034</v>
      </c>
      <c r="T6" s="56">
        <v>0.5</v>
      </c>
      <c r="U6" s="57">
        <v>46072</v>
      </c>
      <c r="V6" s="56">
        <v>1</v>
      </c>
      <c r="W6" s="57">
        <v>46053</v>
      </c>
      <c r="X6" s="56">
        <v>1</v>
      </c>
      <c r="Y6" s="57">
        <v>46073</v>
      </c>
      <c r="Z6" s="56">
        <v>1</v>
      </c>
      <c r="AA6" s="57">
        <v>46076</v>
      </c>
      <c r="AB6" s="90">
        <v>0.5</v>
      </c>
      <c r="AC6" s="91">
        <v>46093</v>
      </c>
      <c r="AD6" s="90">
        <v>2</v>
      </c>
      <c r="AE6" s="90" t="s">
        <v>268</v>
      </c>
      <c r="AF6" s="90">
        <v>0.5</v>
      </c>
      <c r="AG6" s="91">
        <v>46120</v>
      </c>
      <c r="AH6" s="90"/>
      <c r="AI6" s="91"/>
      <c r="AJ6" s="90"/>
      <c r="AK6" s="91"/>
      <c r="AL6" s="90"/>
      <c r="AM6" s="91"/>
      <c r="AN6" s="90"/>
      <c r="AO6" s="91"/>
      <c r="AP6" s="90">
        <f t="shared" si="0"/>
        <v>11</v>
      </c>
      <c r="AQ6" s="92">
        <f>C6+D6+E6-AP6</f>
        <v>11</v>
      </c>
    </row>
    <row r="7" spans="1:43" x14ac:dyDescent="0.2">
      <c r="A7" s="88" t="s">
        <v>3</v>
      </c>
      <c r="B7" s="89">
        <v>41730</v>
      </c>
      <c r="C7" s="101"/>
      <c r="D7" s="101"/>
      <c r="E7" s="90">
        <v>24</v>
      </c>
      <c r="F7" s="56">
        <v>4</v>
      </c>
      <c r="G7" s="57" t="s">
        <v>258</v>
      </c>
      <c r="H7" s="90">
        <v>1</v>
      </c>
      <c r="I7" s="91">
        <v>46100</v>
      </c>
      <c r="J7" s="90">
        <v>2</v>
      </c>
      <c r="K7" s="90" t="s">
        <v>268</v>
      </c>
      <c r="L7" s="90"/>
      <c r="M7" s="91"/>
      <c r="N7" s="90"/>
      <c r="O7" s="91"/>
      <c r="P7" s="90"/>
      <c r="Q7" s="91"/>
      <c r="R7" s="90"/>
      <c r="S7" s="91"/>
      <c r="T7" s="90"/>
      <c r="U7" s="91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>
        <f t="shared" si="0"/>
        <v>7</v>
      </c>
      <c r="AQ7" s="92">
        <f>C7+D7+E7-AP7</f>
        <v>17</v>
      </c>
    </row>
    <row r="8" spans="1:43" x14ac:dyDescent="0.2">
      <c r="A8" s="88" t="s">
        <v>5</v>
      </c>
      <c r="B8" s="89">
        <v>42633</v>
      </c>
      <c r="C8" s="101"/>
      <c r="D8" s="101">
        <v>22</v>
      </c>
      <c r="E8" s="90"/>
      <c r="F8" s="113">
        <v>18</v>
      </c>
      <c r="G8" s="116" t="s">
        <v>213</v>
      </c>
      <c r="H8" s="113">
        <v>0.5</v>
      </c>
      <c r="I8" s="116">
        <v>45960</v>
      </c>
      <c r="J8" s="56">
        <v>1</v>
      </c>
      <c r="K8" s="57">
        <v>46063</v>
      </c>
      <c r="L8" s="56">
        <v>0.5</v>
      </c>
      <c r="M8" s="57">
        <v>46079</v>
      </c>
      <c r="N8" s="90">
        <v>1</v>
      </c>
      <c r="O8" s="91">
        <v>46115</v>
      </c>
      <c r="P8" s="90"/>
      <c r="Q8" s="91"/>
      <c r="R8" s="90"/>
      <c r="S8" s="149"/>
      <c r="T8" s="90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0">
        <f t="shared" si="0"/>
        <v>21</v>
      </c>
      <c r="AQ8" s="92">
        <f t="shared" ref="AQ8:AQ44" si="1">C8+D8+E8-AP8</f>
        <v>1</v>
      </c>
    </row>
    <row r="9" spans="1:43" x14ac:dyDescent="0.2">
      <c r="A9" s="88" t="s">
        <v>6</v>
      </c>
      <c r="B9" s="89">
        <v>44771</v>
      </c>
      <c r="C9" s="101"/>
      <c r="D9" s="101"/>
      <c r="E9" s="90">
        <v>18</v>
      </c>
      <c r="F9" s="90">
        <v>3</v>
      </c>
      <c r="G9" s="91" t="s">
        <v>260</v>
      </c>
      <c r="H9" s="90">
        <v>1</v>
      </c>
      <c r="I9" s="91">
        <v>46116</v>
      </c>
      <c r="J9" s="90"/>
      <c r="K9" s="91"/>
      <c r="L9" s="90"/>
      <c r="M9" s="91"/>
      <c r="N9" s="90"/>
      <c r="O9" s="91"/>
      <c r="P9" s="90"/>
      <c r="Q9" s="91"/>
      <c r="R9" s="90"/>
      <c r="S9" s="91"/>
      <c r="T9" s="90"/>
      <c r="U9" s="91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>
        <f t="shared" si="0"/>
        <v>4</v>
      </c>
      <c r="AQ9" s="92">
        <f t="shared" si="1"/>
        <v>14</v>
      </c>
    </row>
    <row r="10" spans="1:43" x14ac:dyDescent="0.2">
      <c r="A10" s="88" t="s">
        <v>7</v>
      </c>
      <c r="B10" s="89">
        <v>42646</v>
      </c>
      <c r="C10" s="101"/>
      <c r="D10" s="101">
        <v>22</v>
      </c>
      <c r="E10" s="90"/>
      <c r="F10" s="113">
        <v>2</v>
      </c>
      <c r="G10" s="113" t="s">
        <v>247</v>
      </c>
      <c r="H10" s="113">
        <v>3</v>
      </c>
      <c r="I10" s="113" t="s">
        <v>250</v>
      </c>
      <c r="J10" s="113">
        <v>3</v>
      </c>
      <c r="K10" s="113" t="s">
        <v>251</v>
      </c>
      <c r="L10" s="90">
        <v>2</v>
      </c>
      <c r="M10" s="90" t="s">
        <v>268</v>
      </c>
      <c r="N10" s="90"/>
      <c r="O10" s="91"/>
      <c r="P10" s="90"/>
      <c r="Q10" s="90"/>
      <c r="R10" s="90"/>
      <c r="S10" s="149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>
        <f t="shared" si="0"/>
        <v>10</v>
      </c>
      <c r="AQ10" s="92">
        <f t="shared" si="1"/>
        <v>12</v>
      </c>
    </row>
    <row r="11" spans="1:43" x14ac:dyDescent="0.2">
      <c r="A11" s="88" t="s">
        <v>8</v>
      </c>
      <c r="B11" s="89">
        <v>43381</v>
      </c>
      <c r="C11" s="101"/>
      <c r="D11" s="101">
        <v>22</v>
      </c>
      <c r="E11" s="90"/>
      <c r="F11" s="56">
        <v>6</v>
      </c>
      <c r="G11" s="56" t="s">
        <v>256</v>
      </c>
      <c r="H11" s="56">
        <v>1</v>
      </c>
      <c r="I11" s="57">
        <v>46069</v>
      </c>
      <c r="J11" s="90">
        <v>0.5</v>
      </c>
      <c r="K11" s="91">
        <v>46084</v>
      </c>
      <c r="L11" s="90">
        <v>1</v>
      </c>
      <c r="M11" s="91">
        <v>46088</v>
      </c>
      <c r="N11" s="90">
        <v>1</v>
      </c>
      <c r="O11" s="91">
        <v>46115</v>
      </c>
      <c r="P11" s="90"/>
      <c r="Q11" s="91"/>
      <c r="R11" s="90"/>
      <c r="S11" s="91"/>
      <c r="T11" s="90"/>
      <c r="U11" s="91"/>
      <c r="V11" s="90"/>
      <c r="W11" s="90"/>
      <c r="X11" s="90"/>
      <c r="Y11" s="91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>
        <f t="shared" si="0"/>
        <v>9.5</v>
      </c>
      <c r="AQ11" s="92">
        <f t="shared" si="1"/>
        <v>12.5</v>
      </c>
    </row>
    <row r="12" spans="1:43" x14ac:dyDescent="0.2">
      <c r="A12" s="88" t="s">
        <v>9</v>
      </c>
      <c r="B12" s="89">
        <v>43850</v>
      </c>
      <c r="C12" s="101"/>
      <c r="D12" s="101"/>
      <c r="E12" s="90">
        <v>22</v>
      </c>
      <c r="F12" s="90">
        <v>13</v>
      </c>
      <c r="G12" s="94" t="s">
        <v>265</v>
      </c>
      <c r="H12" s="90"/>
      <c r="I12" s="91"/>
      <c r="J12" s="90"/>
      <c r="K12" s="91"/>
      <c r="L12" s="90"/>
      <c r="M12" s="150"/>
      <c r="N12" s="90"/>
      <c r="O12" s="91"/>
      <c r="P12" s="90"/>
      <c r="Q12" s="91"/>
      <c r="R12" s="91"/>
      <c r="S12" s="91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>
        <f t="shared" si="0"/>
        <v>13</v>
      </c>
      <c r="AQ12" s="92">
        <f t="shared" si="1"/>
        <v>9</v>
      </c>
    </row>
    <row r="13" spans="1:43" x14ac:dyDescent="0.2">
      <c r="A13" s="88" t="s">
        <v>253</v>
      </c>
      <c r="B13" s="89">
        <v>45941</v>
      </c>
      <c r="C13" s="101"/>
      <c r="D13" s="101"/>
      <c r="E13" s="90">
        <v>12</v>
      </c>
      <c r="F13" s="90"/>
      <c r="G13" s="91"/>
      <c r="H13" s="90"/>
      <c r="I13" s="91"/>
      <c r="J13" s="90"/>
      <c r="K13" s="91"/>
      <c r="L13" s="90"/>
      <c r="M13" s="91"/>
      <c r="N13" s="90"/>
      <c r="O13" s="91"/>
      <c r="P13" s="90"/>
      <c r="Q13" s="91"/>
      <c r="R13" s="90"/>
      <c r="S13" s="91"/>
      <c r="T13" s="90"/>
      <c r="U13" s="91"/>
      <c r="V13" s="90"/>
      <c r="W13" s="91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0">
        <f t="shared" ref="AP13:AP44" si="2">F13+H13+J13+L13+N13+P13+R13+T13+V13+X13+Z13+AB13+AD13+AF13+AH13+AJ13+AL13+AN13</f>
        <v>0</v>
      </c>
      <c r="AQ13" s="92">
        <f t="shared" si="1"/>
        <v>12</v>
      </c>
    </row>
    <row r="14" spans="1:43" x14ac:dyDescent="0.2">
      <c r="A14" s="88" t="s">
        <v>11</v>
      </c>
      <c r="B14" s="89">
        <v>44669</v>
      </c>
      <c r="C14" s="101"/>
      <c r="D14" s="101"/>
      <c r="E14" s="90">
        <v>18</v>
      </c>
      <c r="F14" s="113">
        <v>1</v>
      </c>
      <c r="G14" s="116">
        <v>46008</v>
      </c>
      <c r="H14" s="90">
        <v>1</v>
      </c>
      <c r="I14" s="91">
        <v>46095</v>
      </c>
      <c r="J14" s="90">
        <v>1</v>
      </c>
      <c r="K14" s="91">
        <v>46102</v>
      </c>
      <c r="L14" s="90"/>
      <c r="M14" s="91"/>
      <c r="N14" s="90"/>
      <c r="O14" s="91"/>
      <c r="P14" s="90"/>
      <c r="Q14" s="90"/>
      <c r="R14" s="90"/>
      <c r="S14" s="91"/>
      <c r="T14" s="90"/>
      <c r="U14" s="91"/>
      <c r="V14" s="90"/>
      <c r="W14" s="91"/>
      <c r="X14" s="90"/>
      <c r="Y14" s="91"/>
      <c r="Z14" s="90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0">
        <f t="shared" si="2"/>
        <v>3</v>
      </c>
      <c r="AQ14" s="92">
        <f t="shared" si="1"/>
        <v>15</v>
      </c>
    </row>
    <row r="15" spans="1:43" x14ac:dyDescent="0.2">
      <c r="A15" s="88" t="s">
        <v>157</v>
      </c>
      <c r="B15" s="89">
        <v>45463</v>
      </c>
      <c r="C15" s="101"/>
      <c r="D15" s="101">
        <v>12</v>
      </c>
      <c r="E15" s="90">
        <v>14</v>
      </c>
      <c r="F15" s="113">
        <v>2</v>
      </c>
      <c r="G15" s="116" t="s">
        <v>193</v>
      </c>
      <c r="H15" s="113">
        <v>1</v>
      </c>
      <c r="I15" s="116">
        <v>45825</v>
      </c>
      <c r="J15" s="113">
        <v>0.5</v>
      </c>
      <c r="K15" s="116">
        <v>45840</v>
      </c>
      <c r="L15" s="113">
        <v>0.5</v>
      </c>
      <c r="M15" s="116">
        <v>45841</v>
      </c>
      <c r="N15" s="113">
        <v>3</v>
      </c>
      <c r="O15" s="116" t="s">
        <v>210</v>
      </c>
      <c r="P15" s="113">
        <v>1</v>
      </c>
      <c r="Q15" s="116">
        <v>45917</v>
      </c>
      <c r="R15" s="113">
        <v>1</v>
      </c>
      <c r="S15" s="116">
        <v>46008</v>
      </c>
      <c r="T15" s="56">
        <v>1</v>
      </c>
      <c r="U15" s="57">
        <v>46051</v>
      </c>
      <c r="V15" s="56">
        <v>0.5</v>
      </c>
      <c r="W15" s="57">
        <v>46069</v>
      </c>
      <c r="X15" s="90">
        <v>0.5</v>
      </c>
      <c r="Y15" s="91">
        <v>46094</v>
      </c>
      <c r="Z15" s="90">
        <v>2</v>
      </c>
      <c r="AA15" s="90" t="s">
        <v>268</v>
      </c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0">
        <f t="shared" si="2"/>
        <v>13</v>
      </c>
      <c r="AQ15" s="92">
        <f t="shared" si="1"/>
        <v>13</v>
      </c>
    </row>
    <row r="16" spans="1:43" x14ac:dyDescent="0.2">
      <c r="A16" s="88" t="s">
        <v>233</v>
      </c>
      <c r="B16" s="89">
        <v>45827</v>
      </c>
      <c r="C16" s="101"/>
      <c r="D16" s="101"/>
      <c r="E16" s="90">
        <v>12</v>
      </c>
      <c r="F16" s="113">
        <v>1</v>
      </c>
      <c r="G16" s="116">
        <v>45919</v>
      </c>
      <c r="H16" s="90">
        <v>2</v>
      </c>
      <c r="I16" s="90" t="s">
        <v>268</v>
      </c>
      <c r="J16" s="90"/>
      <c r="K16" s="91"/>
      <c r="L16" s="90"/>
      <c r="M16" s="91"/>
      <c r="N16" s="90"/>
      <c r="O16" s="91"/>
      <c r="P16" s="90"/>
      <c r="Q16" s="91"/>
      <c r="R16" s="90"/>
      <c r="S16" s="90"/>
      <c r="T16" s="90"/>
      <c r="U16" s="91"/>
      <c r="V16" s="90"/>
      <c r="W16" s="91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0">
        <f t="shared" si="2"/>
        <v>3</v>
      </c>
      <c r="AQ16" s="92">
        <f t="shared" si="1"/>
        <v>9</v>
      </c>
    </row>
    <row r="17" spans="1:43" x14ac:dyDescent="0.2">
      <c r="A17" s="88" t="s">
        <v>14</v>
      </c>
      <c r="B17" s="89">
        <v>44700</v>
      </c>
      <c r="C17" s="101"/>
      <c r="D17" s="101">
        <v>16</v>
      </c>
      <c r="E17" s="90"/>
      <c r="F17" s="113">
        <v>1</v>
      </c>
      <c r="G17" s="116">
        <v>45756</v>
      </c>
      <c r="H17" s="113">
        <v>1</v>
      </c>
      <c r="I17" s="116">
        <v>45794</v>
      </c>
      <c r="J17" s="113">
        <v>1</v>
      </c>
      <c r="K17" s="116">
        <v>45838</v>
      </c>
      <c r="L17" s="113">
        <v>1</v>
      </c>
      <c r="M17" s="116">
        <v>45847</v>
      </c>
      <c r="N17" s="113">
        <v>1</v>
      </c>
      <c r="O17" s="116">
        <v>45871</v>
      </c>
      <c r="P17" s="113">
        <v>1</v>
      </c>
      <c r="Q17" s="116">
        <v>45926</v>
      </c>
      <c r="R17" s="113">
        <v>2</v>
      </c>
      <c r="S17" s="116" t="s">
        <v>239</v>
      </c>
      <c r="T17" s="113">
        <v>1</v>
      </c>
      <c r="U17" s="116">
        <v>45975</v>
      </c>
      <c r="V17" s="113">
        <v>1</v>
      </c>
      <c r="W17" s="116">
        <v>46000</v>
      </c>
      <c r="X17" s="56">
        <v>1</v>
      </c>
      <c r="Y17" s="57">
        <v>46038</v>
      </c>
      <c r="Z17" s="56">
        <v>4</v>
      </c>
      <c r="AA17" s="57" t="s">
        <v>261</v>
      </c>
      <c r="AB17" s="90">
        <v>1</v>
      </c>
      <c r="AC17" s="91">
        <v>46083</v>
      </c>
      <c r="AD17" s="90"/>
      <c r="AE17" s="91"/>
      <c r="AF17" s="90"/>
      <c r="AG17" s="91"/>
      <c r="AH17" s="90"/>
      <c r="AI17" s="91"/>
      <c r="AJ17" s="90"/>
      <c r="AK17" s="91"/>
      <c r="AL17" s="90"/>
      <c r="AM17" s="91"/>
      <c r="AN17" s="90"/>
      <c r="AO17" s="91"/>
      <c r="AP17" s="90">
        <f t="shared" si="2"/>
        <v>16</v>
      </c>
      <c r="AQ17" s="92">
        <f t="shared" si="1"/>
        <v>0</v>
      </c>
    </row>
    <row r="18" spans="1:43" x14ac:dyDescent="0.2">
      <c r="A18" s="88" t="s">
        <v>15</v>
      </c>
      <c r="B18" s="89">
        <v>44805</v>
      </c>
      <c r="C18" s="101"/>
      <c r="D18" s="101">
        <v>16</v>
      </c>
      <c r="E18" s="90"/>
      <c r="F18" s="113">
        <v>1</v>
      </c>
      <c r="G18" s="116">
        <v>45687</v>
      </c>
      <c r="H18" s="113">
        <v>1</v>
      </c>
      <c r="I18" s="116">
        <v>45891</v>
      </c>
      <c r="J18" s="113">
        <v>1</v>
      </c>
      <c r="K18" s="116">
        <v>45958</v>
      </c>
      <c r="L18" s="113">
        <v>3</v>
      </c>
      <c r="M18" s="113" t="s">
        <v>246</v>
      </c>
      <c r="N18" s="113">
        <v>0.5</v>
      </c>
      <c r="O18" s="116">
        <v>45986</v>
      </c>
      <c r="P18" s="56">
        <v>1</v>
      </c>
      <c r="Q18" s="57">
        <v>46031</v>
      </c>
      <c r="R18" s="56">
        <v>0.5</v>
      </c>
      <c r="S18" s="57">
        <v>46043</v>
      </c>
      <c r="T18" s="56">
        <v>1</v>
      </c>
      <c r="U18" s="57">
        <v>46053</v>
      </c>
      <c r="V18" s="90">
        <v>1</v>
      </c>
      <c r="W18" s="91">
        <v>46088</v>
      </c>
      <c r="X18" s="90">
        <v>1</v>
      </c>
      <c r="Y18" s="91">
        <v>46109</v>
      </c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0">
        <f t="shared" si="2"/>
        <v>11</v>
      </c>
      <c r="AQ18" s="92">
        <f t="shared" si="1"/>
        <v>5</v>
      </c>
    </row>
    <row r="19" spans="1:43" x14ac:dyDescent="0.2">
      <c r="A19" s="88" t="s">
        <v>272</v>
      </c>
      <c r="B19" s="89">
        <v>46048</v>
      </c>
      <c r="C19" s="101"/>
      <c r="D19" s="101"/>
      <c r="E19" s="90"/>
      <c r="F19" s="90">
        <v>1</v>
      </c>
      <c r="G19" s="91">
        <v>46116</v>
      </c>
      <c r="H19" s="90"/>
      <c r="I19" s="91"/>
      <c r="J19" s="90"/>
      <c r="K19" s="91"/>
      <c r="L19" s="90"/>
      <c r="M19" s="90"/>
      <c r="N19" s="90"/>
      <c r="O19" s="91"/>
      <c r="P19" s="56"/>
      <c r="Q19" s="57"/>
      <c r="R19" s="56"/>
      <c r="S19" s="57"/>
      <c r="T19" s="56"/>
      <c r="U19" s="57"/>
      <c r="V19" s="90"/>
      <c r="W19" s="91"/>
      <c r="X19" s="90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0">
        <f t="shared" si="2"/>
        <v>1</v>
      </c>
      <c r="AQ19" s="92">
        <f t="shared" si="1"/>
        <v>-1</v>
      </c>
    </row>
    <row r="20" spans="1:43" x14ac:dyDescent="0.2">
      <c r="A20" s="88" t="s">
        <v>17</v>
      </c>
      <c r="B20" s="89">
        <v>43913</v>
      </c>
      <c r="C20" s="101"/>
      <c r="D20" s="101"/>
      <c r="E20" s="90">
        <v>22</v>
      </c>
      <c r="F20" s="90"/>
      <c r="G20" s="94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>
        <f t="shared" si="2"/>
        <v>0</v>
      </c>
      <c r="AQ20" s="92">
        <f t="shared" si="1"/>
        <v>22</v>
      </c>
    </row>
    <row r="21" spans="1:43" x14ac:dyDescent="0.2">
      <c r="A21" s="88" t="s">
        <v>19</v>
      </c>
      <c r="B21" s="89">
        <v>44277</v>
      </c>
      <c r="C21" s="101"/>
      <c r="D21" s="101"/>
      <c r="E21" s="90">
        <v>20</v>
      </c>
      <c r="F21" s="56">
        <v>1</v>
      </c>
      <c r="G21" s="57">
        <v>46024</v>
      </c>
      <c r="H21" s="56">
        <v>1</v>
      </c>
      <c r="I21" s="57">
        <v>46053</v>
      </c>
      <c r="J21" s="90">
        <v>1</v>
      </c>
      <c r="K21" s="91">
        <v>46098</v>
      </c>
      <c r="L21" s="90">
        <v>8</v>
      </c>
      <c r="M21" s="91" t="s">
        <v>266</v>
      </c>
      <c r="N21" s="90"/>
      <c r="O21" s="94"/>
      <c r="P21" s="90"/>
      <c r="Q21" s="91"/>
      <c r="R21" s="90"/>
      <c r="S21" s="91"/>
      <c r="T21" s="90"/>
      <c r="U21" s="91"/>
      <c r="V21" s="90"/>
      <c r="W21" s="91"/>
      <c r="X21" s="90"/>
      <c r="Y21" s="91"/>
      <c r="Z21" s="90"/>
      <c r="AA21" s="91"/>
      <c r="AB21" s="90"/>
      <c r="AC21" s="91"/>
      <c r="AD21" s="90"/>
      <c r="AE21" s="91"/>
      <c r="AF21" s="90"/>
      <c r="AG21" s="91"/>
      <c r="AH21" s="90"/>
      <c r="AI21" s="91"/>
      <c r="AJ21" s="90"/>
      <c r="AK21" s="91"/>
      <c r="AL21" s="90"/>
      <c r="AM21" s="90"/>
      <c r="AN21" s="90"/>
      <c r="AO21" s="90"/>
      <c r="AP21" s="90">
        <f t="shared" si="2"/>
        <v>11</v>
      </c>
      <c r="AQ21" s="92">
        <f t="shared" si="1"/>
        <v>9</v>
      </c>
    </row>
    <row r="22" spans="1:43" x14ac:dyDescent="0.2">
      <c r="A22" s="88" t="s">
        <v>21</v>
      </c>
      <c r="B22" s="89">
        <v>44293</v>
      </c>
      <c r="C22" s="101"/>
      <c r="D22" s="101">
        <v>18</v>
      </c>
      <c r="E22" s="90">
        <v>20</v>
      </c>
      <c r="F22" s="113">
        <v>1</v>
      </c>
      <c r="G22" s="116">
        <v>46093</v>
      </c>
      <c r="H22" s="113">
        <v>2</v>
      </c>
      <c r="I22" s="116" t="s">
        <v>193</v>
      </c>
      <c r="J22" s="113">
        <v>1</v>
      </c>
      <c r="K22" s="116">
        <v>45782</v>
      </c>
      <c r="L22" s="113">
        <v>1</v>
      </c>
      <c r="M22" s="116">
        <v>45839</v>
      </c>
      <c r="N22" s="113">
        <v>1</v>
      </c>
      <c r="O22" s="116">
        <v>45859</v>
      </c>
      <c r="P22" s="113">
        <v>2</v>
      </c>
      <c r="Q22" s="116" t="s">
        <v>226</v>
      </c>
      <c r="R22" s="113">
        <v>1</v>
      </c>
      <c r="S22" s="116">
        <v>45964</v>
      </c>
      <c r="T22" s="56">
        <v>1</v>
      </c>
      <c r="U22" s="57">
        <v>46042</v>
      </c>
      <c r="V22" s="90">
        <v>8</v>
      </c>
      <c r="W22" s="91" t="s">
        <v>262</v>
      </c>
      <c r="X22" s="90">
        <v>4</v>
      </c>
      <c r="Y22" s="91" t="s">
        <v>263</v>
      </c>
      <c r="Z22" s="90"/>
      <c r="AA22" s="91"/>
      <c r="AB22" s="90"/>
      <c r="AC22" s="91"/>
      <c r="AD22" s="90"/>
      <c r="AE22" s="91"/>
      <c r="AF22" s="90"/>
      <c r="AG22" s="91"/>
      <c r="AH22" s="90"/>
      <c r="AI22" s="91"/>
      <c r="AJ22" s="90"/>
      <c r="AK22" s="91"/>
      <c r="AL22" s="91"/>
      <c r="AM22" s="91"/>
      <c r="AN22" s="91"/>
      <c r="AO22" s="91"/>
      <c r="AP22" s="90">
        <f t="shared" si="2"/>
        <v>22</v>
      </c>
      <c r="AQ22" s="92">
        <f t="shared" si="1"/>
        <v>16</v>
      </c>
    </row>
    <row r="23" spans="1:43" x14ac:dyDescent="0.2">
      <c r="A23" s="88" t="s">
        <v>24</v>
      </c>
      <c r="B23" s="89">
        <v>44805</v>
      </c>
      <c r="C23" s="101"/>
      <c r="D23" s="101">
        <v>16</v>
      </c>
      <c r="E23" s="90"/>
      <c r="F23" s="90">
        <v>1</v>
      </c>
      <c r="G23" s="91">
        <v>46115</v>
      </c>
      <c r="H23" s="90">
        <v>6</v>
      </c>
      <c r="I23" s="90" t="s">
        <v>273</v>
      </c>
      <c r="J23" s="90"/>
      <c r="K23" s="91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0">
        <f t="shared" si="2"/>
        <v>7</v>
      </c>
      <c r="AQ23" s="92">
        <f t="shared" si="1"/>
        <v>9</v>
      </c>
    </row>
    <row r="24" spans="1:43" x14ac:dyDescent="0.2">
      <c r="A24" s="88" t="s">
        <v>25</v>
      </c>
      <c r="B24" s="89">
        <v>44866</v>
      </c>
      <c r="C24" s="101">
        <v>14</v>
      </c>
      <c r="D24" s="101">
        <v>16</v>
      </c>
      <c r="E24" s="90"/>
      <c r="F24" s="113">
        <v>1</v>
      </c>
      <c r="G24" s="116">
        <v>45847</v>
      </c>
      <c r="H24" s="113">
        <v>1</v>
      </c>
      <c r="I24" s="116">
        <v>45880</v>
      </c>
      <c r="J24" s="113">
        <v>1</v>
      </c>
      <c r="K24" s="116">
        <v>45881</v>
      </c>
      <c r="L24" s="113">
        <v>2</v>
      </c>
      <c r="M24" s="113" t="s">
        <v>229</v>
      </c>
      <c r="N24" s="113">
        <v>2</v>
      </c>
      <c r="O24" s="113" t="s">
        <v>230</v>
      </c>
      <c r="P24" s="113">
        <v>2</v>
      </c>
      <c r="Q24" s="113" t="s">
        <v>235</v>
      </c>
      <c r="R24" s="113">
        <v>1</v>
      </c>
      <c r="S24" s="116">
        <v>45931</v>
      </c>
      <c r="T24" s="113">
        <v>1</v>
      </c>
      <c r="U24" s="116">
        <v>45951</v>
      </c>
      <c r="V24" s="113">
        <v>1</v>
      </c>
      <c r="W24" s="116">
        <v>45969</v>
      </c>
      <c r="X24" s="113">
        <v>1</v>
      </c>
      <c r="Y24" s="116">
        <v>45992</v>
      </c>
      <c r="Z24" s="56">
        <v>1</v>
      </c>
      <c r="AA24" s="57">
        <v>46057</v>
      </c>
      <c r="AB24" s="56">
        <v>1</v>
      </c>
      <c r="AC24" s="57">
        <v>46078</v>
      </c>
      <c r="AD24" s="56">
        <v>1</v>
      </c>
      <c r="AE24" s="57">
        <v>46080</v>
      </c>
      <c r="AF24" s="90">
        <v>1</v>
      </c>
      <c r="AG24" s="91">
        <v>46083</v>
      </c>
      <c r="AH24" s="90">
        <v>1</v>
      </c>
      <c r="AI24" s="91">
        <v>46092</v>
      </c>
      <c r="AJ24" s="90">
        <v>1</v>
      </c>
      <c r="AK24" s="91">
        <v>46100</v>
      </c>
      <c r="AL24" s="90">
        <v>3</v>
      </c>
      <c r="AM24" s="91" t="s">
        <v>269</v>
      </c>
      <c r="AN24" s="90"/>
      <c r="AO24" s="91"/>
      <c r="AP24" s="90">
        <f t="shared" si="2"/>
        <v>22</v>
      </c>
      <c r="AQ24" s="92">
        <f t="shared" si="1"/>
        <v>8</v>
      </c>
    </row>
    <row r="25" spans="1:43" x14ac:dyDescent="0.2">
      <c r="A25" s="88" t="s">
        <v>27</v>
      </c>
      <c r="B25" s="89">
        <v>45185</v>
      </c>
      <c r="C25" s="101"/>
      <c r="D25" s="101">
        <v>14</v>
      </c>
      <c r="E25" s="90"/>
      <c r="F25" s="113">
        <v>1</v>
      </c>
      <c r="G25" s="116">
        <v>45960</v>
      </c>
      <c r="H25" s="113">
        <v>1</v>
      </c>
      <c r="I25" s="116">
        <v>45967</v>
      </c>
      <c r="J25" s="113">
        <v>1</v>
      </c>
      <c r="K25" s="116">
        <v>45969</v>
      </c>
      <c r="L25" s="56">
        <v>1</v>
      </c>
      <c r="M25" s="57">
        <v>46039</v>
      </c>
      <c r="N25" s="90">
        <v>1</v>
      </c>
      <c r="O25" s="91">
        <v>46093</v>
      </c>
      <c r="P25" s="90">
        <v>1</v>
      </c>
      <c r="Q25" s="91">
        <v>46102</v>
      </c>
      <c r="R25" s="90">
        <v>2</v>
      </c>
      <c r="S25" s="90" t="s">
        <v>268</v>
      </c>
      <c r="T25" s="90">
        <v>1</v>
      </c>
      <c r="U25" s="91">
        <v>46121</v>
      </c>
      <c r="V25" s="90"/>
      <c r="W25" s="91"/>
      <c r="X25" s="90"/>
      <c r="Y25" s="91"/>
      <c r="Z25" s="90"/>
      <c r="AA25" s="91"/>
      <c r="AB25" s="90"/>
      <c r="AC25" s="91"/>
      <c r="AD25" s="90"/>
      <c r="AE25" s="91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>
        <f t="shared" si="2"/>
        <v>9</v>
      </c>
      <c r="AQ25" s="92">
        <f t="shared" si="1"/>
        <v>5</v>
      </c>
    </row>
    <row r="26" spans="1:43" x14ac:dyDescent="0.2">
      <c r="A26" s="88" t="s">
        <v>163</v>
      </c>
      <c r="B26" s="89">
        <v>45451</v>
      </c>
      <c r="C26" s="101"/>
      <c r="D26" s="101">
        <v>12</v>
      </c>
      <c r="E26" s="90"/>
      <c r="F26" s="113">
        <v>2</v>
      </c>
      <c r="G26" s="116" t="s">
        <v>193</v>
      </c>
      <c r="H26" s="113">
        <v>1</v>
      </c>
      <c r="I26" s="116">
        <v>45853</v>
      </c>
      <c r="J26" s="113">
        <v>4</v>
      </c>
      <c r="K26" s="113" t="s">
        <v>218</v>
      </c>
      <c r="L26" s="113">
        <v>1</v>
      </c>
      <c r="M26" s="116">
        <v>45883</v>
      </c>
      <c r="N26" s="113">
        <v>1</v>
      </c>
      <c r="O26" s="116">
        <v>45952</v>
      </c>
      <c r="P26" s="56">
        <v>1</v>
      </c>
      <c r="Q26" s="57">
        <v>46031</v>
      </c>
      <c r="R26" s="56">
        <v>1</v>
      </c>
      <c r="S26" s="57">
        <v>46080</v>
      </c>
      <c r="T26" s="90">
        <v>1</v>
      </c>
      <c r="U26" s="91">
        <v>46115</v>
      </c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>
        <f t="shared" si="2"/>
        <v>12</v>
      </c>
      <c r="AQ26" s="92">
        <f t="shared" si="1"/>
        <v>0</v>
      </c>
    </row>
    <row r="27" spans="1:43" x14ac:dyDescent="0.2">
      <c r="A27" s="88" t="s">
        <v>164</v>
      </c>
      <c r="B27" s="89">
        <v>45593</v>
      </c>
      <c r="C27" s="101"/>
      <c r="D27" s="101">
        <v>12</v>
      </c>
      <c r="E27" s="90"/>
      <c r="F27" s="113">
        <v>2</v>
      </c>
      <c r="G27" s="116" t="s">
        <v>193</v>
      </c>
      <c r="H27" s="113">
        <v>1</v>
      </c>
      <c r="I27" s="116">
        <v>45869</v>
      </c>
      <c r="J27" s="113">
        <v>1</v>
      </c>
      <c r="K27" s="116">
        <v>45945</v>
      </c>
      <c r="L27" s="113">
        <v>1</v>
      </c>
      <c r="M27" s="116">
        <v>45972</v>
      </c>
      <c r="N27" s="113">
        <v>1</v>
      </c>
      <c r="O27" s="116">
        <v>45992</v>
      </c>
      <c r="P27" s="56">
        <v>1</v>
      </c>
      <c r="Q27" s="57">
        <v>46034</v>
      </c>
      <c r="R27" s="90">
        <v>3</v>
      </c>
      <c r="S27" s="90" t="s">
        <v>270</v>
      </c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>
        <f t="shared" si="2"/>
        <v>10</v>
      </c>
      <c r="AQ27" s="92">
        <f t="shared" si="1"/>
        <v>2</v>
      </c>
    </row>
    <row r="28" spans="1:43" x14ac:dyDescent="0.2">
      <c r="A28" s="88" t="s">
        <v>196</v>
      </c>
      <c r="B28" s="89">
        <v>45622</v>
      </c>
      <c r="C28" s="101"/>
      <c r="D28" s="101">
        <v>12</v>
      </c>
      <c r="E28" s="90"/>
      <c r="F28" s="113">
        <v>2</v>
      </c>
      <c r="G28" s="116" t="s">
        <v>193</v>
      </c>
      <c r="H28" s="113">
        <v>1</v>
      </c>
      <c r="I28" s="116">
        <v>45773</v>
      </c>
      <c r="J28" s="113">
        <v>0.5</v>
      </c>
      <c r="K28" s="116">
        <v>45786</v>
      </c>
      <c r="L28" s="113">
        <v>0.5</v>
      </c>
      <c r="M28" s="116">
        <v>45828</v>
      </c>
      <c r="N28" s="113">
        <v>1</v>
      </c>
      <c r="O28" s="116">
        <v>45908</v>
      </c>
      <c r="P28" s="90">
        <v>2</v>
      </c>
      <c r="Q28" s="90" t="s">
        <v>56</v>
      </c>
      <c r="R28" s="90">
        <v>3</v>
      </c>
      <c r="S28" s="90" t="s">
        <v>270</v>
      </c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>
        <f t="shared" si="2"/>
        <v>10</v>
      </c>
      <c r="AQ28" s="92">
        <f t="shared" si="1"/>
        <v>2</v>
      </c>
    </row>
    <row r="29" spans="1:43" x14ac:dyDescent="0.2">
      <c r="A29" s="88" t="s">
        <v>28</v>
      </c>
      <c r="B29" s="89">
        <v>42627</v>
      </c>
      <c r="C29" s="101"/>
      <c r="D29" s="101">
        <v>22</v>
      </c>
      <c r="E29" s="90"/>
      <c r="F29" s="90"/>
      <c r="G29" s="91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>
        <f t="shared" si="2"/>
        <v>0</v>
      </c>
      <c r="AQ29" s="92">
        <f t="shared" si="1"/>
        <v>22</v>
      </c>
    </row>
    <row r="30" spans="1:43" x14ac:dyDescent="0.2">
      <c r="A30" s="88" t="s">
        <v>29</v>
      </c>
      <c r="B30" s="89">
        <v>44957</v>
      </c>
      <c r="C30" s="101"/>
      <c r="D30" s="101"/>
      <c r="E30" s="90">
        <v>16</v>
      </c>
      <c r="F30" s="90"/>
      <c r="G30" s="91"/>
      <c r="H30" s="90"/>
      <c r="I30" s="15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>
        <f t="shared" si="2"/>
        <v>0</v>
      </c>
      <c r="AQ30" s="92">
        <f t="shared" si="1"/>
        <v>16</v>
      </c>
    </row>
    <row r="31" spans="1:43" x14ac:dyDescent="0.2">
      <c r="A31" s="88" t="s">
        <v>165</v>
      </c>
      <c r="B31" s="89">
        <v>45549</v>
      </c>
      <c r="C31" s="101"/>
      <c r="D31" s="101"/>
      <c r="E31" s="90">
        <v>14</v>
      </c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>
        <f t="shared" si="2"/>
        <v>0</v>
      </c>
      <c r="AQ31" s="92">
        <f t="shared" si="1"/>
        <v>14</v>
      </c>
    </row>
    <row r="32" spans="1:43" x14ac:dyDescent="0.2">
      <c r="A32" s="88" t="s">
        <v>254</v>
      </c>
      <c r="B32" s="89">
        <v>45936</v>
      </c>
      <c r="C32" s="101"/>
      <c r="D32" s="101"/>
      <c r="E32" s="90">
        <v>12</v>
      </c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0">
        <f t="shared" si="2"/>
        <v>0</v>
      </c>
      <c r="AQ32" s="92">
        <f t="shared" si="1"/>
        <v>12</v>
      </c>
    </row>
    <row r="33" spans="1:43" x14ac:dyDescent="0.2">
      <c r="A33" s="88" t="s">
        <v>31</v>
      </c>
      <c r="B33" s="89">
        <v>44608</v>
      </c>
      <c r="C33" s="101"/>
      <c r="D33" s="101"/>
      <c r="E33" s="90">
        <v>18</v>
      </c>
      <c r="F33" s="113">
        <v>1</v>
      </c>
      <c r="G33" s="116">
        <v>46008</v>
      </c>
      <c r="H33" s="113">
        <v>1</v>
      </c>
      <c r="I33" s="116">
        <v>46018</v>
      </c>
      <c r="J33" s="56">
        <v>1</v>
      </c>
      <c r="K33" s="57">
        <v>46078</v>
      </c>
      <c r="L33" s="90">
        <v>0.5</v>
      </c>
      <c r="M33" s="91">
        <v>46084</v>
      </c>
      <c r="N33" s="90">
        <v>1</v>
      </c>
      <c r="O33" s="91">
        <v>46101</v>
      </c>
      <c r="P33" s="90">
        <v>2</v>
      </c>
      <c r="Q33" s="90" t="s">
        <v>268</v>
      </c>
      <c r="R33" s="90"/>
      <c r="S33" s="148"/>
      <c r="T33" s="90"/>
      <c r="U33" s="91"/>
      <c r="V33" s="90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0">
        <f t="shared" si="2"/>
        <v>6.5</v>
      </c>
      <c r="AQ33" s="92">
        <f t="shared" si="1"/>
        <v>11.5</v>
      </c>
    </row>
    <row r="34" spans="1:43" x14ac:dyDescent="0.2">
      <c r="A34" s="88" t="s">
        <v>33</v>
      </c>
      <c r="B34" s="89">
        <v>43481</v>
      </c>
      <c r="C34" s="101"/>
      <c r="D34" s="101"/>
      <c r="E34" s="90">
        <v>22</v>
      </c>
      <c r="F34" s="56">
        <v>1</v>
      </c>
      <c r="G34" s="57">
        <v>46044</v>
      </c>
      <c r="H34" s="56">
        <v>1</v>
      </c>
      <c r="I34" s="57">
        <v>46050</v>
      </c>
      <c r="J34" s="56">
        <v>0.5</v>
      </c>
      <c r="K34" s="57">
        <v>46077</v>
      </c>
      <c r="L34" s="90"/>
      <c r="M34" s="90"/>
      <c r="N34" s="90"/>
      <c r="O34" s="91"/>
      <c r="P34" s="90"/>
      <c r="Q34" s="91"/>
      <c r="R34" s="90"/>
      <c r="S34" s="91"/>
      <c r="T34" s="90"/>
      <c r="U34" s="91"/>
      <c r="V34" s="90"/>
      <c r="W34" s="148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0">
        <f t="shared" si="2"/>
        <v>2.5</v>
      </c>
      <c r="AQ34" s="92">
        <f t="shared" si="1"/>
        <v>19.5</v>
      </c>
    </row>
    <row r="35" spans="1:43" x14ac:dyDescent="0.2">
      <c r="A35" s="88" t="s">
        <v>118</v>
      </c>
      <c r="B35" s="89">
        <v>45279</v>
      </c>
      <c r="C35" s="101"/>
      <c r="D35" s="101">
        <v>14</v>
      </c>
      <c r="E35" s="90"/>
      <c r="F35" s="56">
        <v>1</v>
      </c>
      <c r="G35" s="57">
        <v>46036</v>
      </c>
      <c r="H35" s="56">
        <v>1</v>
      </c>
      <c r="I35" s="57">
        <v>46051</v>
      </c>
      <c r="J35" s="56">
        <v>1</v>
      </c>
      <c r="K35" s="57">
        <v>46074</v>
      </c>
      <c r="L35" s="90"/>
      <c r="M35" s="91"/>
      <c r="N35" s="90"/>
      <c r="O35" s="91"/>
      <c r="P35" s="90"/>
      <c r="Q35" s="90"/>
      <c r="R35" s="90"/>
      <c r="S35" s="91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0">
        <f>F35+H35+J35+L35+N35+P35+R35+T35+V35+X35+Z35+AB35+AD35+AF35+AH35+AJ35+AL35+AN35</f>
        <v>3</v>
      </c>
      <c r="AQ35" s="92">
        <f t="shared" si="1"/>
        <v>11</v>
      </c>
    </row>
    <row r="36" spans="1:43" x14ac:dyDescent="0.2">
      <c r="A36" s="88" t="s">
        <v>166</v>
      </c>
      <c r="B36" s="89">
        <v>45446</v>
      </c>
      <c r="C36" s="101"/>
      <c r="D36" s="101"/>
      <c r="E36" s="90">
        <v>14</v>
      </c>
      <c r="F36" s="113">
        <v>0.5</v>
      </c>
      <c r="G36" s="116">
        <v>46284</v>
      </c>
      <c r="H36" s="56">
        <v>0.5</v>
      </c>
      <c r="I36" s="57">
        <v>46052</v>
      </c>
      <c r="J36" s="90"/>
      <c r="K36" s="91"/>
      <c r="L36" s="90"/>
      <c r="M36" s="91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0"/>
      <c r="AO36" s="90"/>
      <c r="AP36" s="90">
        <f t="shared" si="2"/>
        <v>1</v>
      </c>
      <c r="AQ36" s="92">
        <f t="shared" si="1"/>
        <v>13</v>
      </c>
    </row>
    <row r="37" spans="1:43" x14ac:dyDescent="0.2">
      <c r="A37" s="88" t="s">
        <v>176</v>
      </c>
      <c r="B37" s="89">
        <v>45623</v>
      </c>
      <c r="C37" s="101"/>
      <c r="D37" s="101">
        <v>12</v>
      </c>
      <c r="E37" s="90"/>
      <c r="F37" s="90">
        <v>6</v>
      </c>
      <c r="G37" s="91" t="s">
        <v>267</v>
      </c>
      <c r="H37" s="90"/>
      <c r="I37" s="91"/>
      <c r="J37" s="90"/>
      <c r="K37" s="91"/>
      <c r="L37" s="90"/>
      <c r="M37" s="91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>
        <f t="shared" si="2"/>
        <v>6</v>
      </c>
      <c r="AQ37" s="92">
        <f t="shared" si="1"/>
        <v>6</v>
      </c>
    </row>
    <row r="38" spans="1:43" x14ac:dyDescent="0.2">
      <c r="A38" s="88" t="s">
        <v>177</v>
      </c>
      <c r="B38" s="89">
        <v>45631</v>
      </c>
      <c r="C38" s="101"/>
      <c r="D38" s="101">
        <v>12</v>
      </c>
      <c r="E38" s="90"/>
      <c r="F38" s="56">
        <v>2</v>
      </c>
      <c r="G38" s="57" t="s">
        <v>259</v>
      </c>
      <c r="H38" s="90"/>
      <c r="I38" s="91"/>
      <c r="J38" s="90"/>
      <c r="K38" s="91"/>
      <c r="L38" s="90"/>
      <c r="M38" s="91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0"/>
      <c r="AO38" s="90"/>
      <c r="AP38" s="90">
        <f t="shared" si="2"/>
        <v>2</v>
      </c>
      <c r="AQ38" s="92">
        <f t="shared" si="1"/>
        <v>10</v>
      </c>
    </row>
    <row r="39" spans="1:43" x14ac:dyDescent="0.2">
      <c r="A39" s="88" t="s">
        <v>255</v>
      </c>
      <c r="B39" s="89">
        <v>45848</v>
      </c>
      <c r="C39" s="101"/>
      <c r="D39" s="101"/>
      <c r="E39" s="90">
        <v>12</v>
      </c>
      <c r="F39" s="90">
        <v>1</v>
      </c>
      <c r="G39" s="91">
        <v>46108</v>
      </c>
      <c r="H39" s="90"/>
      <c r="I39" s="91"/>
      <c r="J39" s="90"/>
      <c r="K39" s="91"/>
      <c r="L39" s="90"/>
      <c r="M39" s="91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>
        <f t="shared" si="2"/>
        <v>1</v>
      </c>
      <c r="AQ39" s="92">
        <f t="shared" si="1"/>
        <v>11</v>
      </c>
    </row>
    <row r="40" spans="1:43" x14ac:dyDescent="0.2">
      <c r="A40" s="88" t="s">
        <v>199</v>
      </c>
      <c r="B40" s="89">
        <v>40571</v>
      </c>
      <c r="C40" s="101"/>
      <c r="D40" s="101"/>
      <c r="E40" s="90">
        <v>24</v>
      </c>
      <c r="F40" s="90"/>
      <c r="G40" s="91"/>
      <c r="H40" s="90"/>
      <c r="I40" s="91"/>
      <c r="J40" s="90"/>
      <c r="K40" s="91"/>
      <c r="L40" s="90"/>
      <c r="M40" s="91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>
        <f t="shared" si="2"/>
        <v>0</v>
      </c>
      <c r="AQ40" s="92">
        <f t="shared" si="1"/>
        <v>24</v>
      </c>
    </row>
    <row r="41" spans="1:43" x14ac:dyDescent="0.2">
      <c r="A41" s="169" t="s">
        <v>200</v>
      </c>
      <c r="B41" s="170">
        <v>45680</v>
      </c>
      <c r="C41" s="171"/>
      <c r="D41" s="171"/>
      <c r="E41" s="172">
        <v>12</v>
      </c>
      <c r="F41" s="172">
        <v>1</v>
      </c>
      <c r="G41" s="173">
        <v>46382</v>
      </c>
      <c r="H41" s="172"/>
      <c r="I41" s="173"/>
      <c r="J41" s="172"/>
      <c r="K41" s="173"/>
      <c r="L41" s="172"/>
      <c r="M41" s="173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72"/>
      <c r="AA41" s="172"/>
      <c r="AB41" s="172"/>
      <c r="AC41" s="172"/>
      <c r="AD41" s="172"/>
      <c r="AE41" s="172"/>
      <c r="AF41" s="172"/>
      <c r="AG41" s="172"/>
      <c r="AH41" s="172"/>
      <c r="AI41" s="172"/>
      <c r="AJ41" s="172"/>
      <c r="AK41" s="172"/>
      <c r="AL41" s="172"/>
      <c r="AM41" s="172"/>
      <c r="AN41" s="172"/>
      <c r="AO41" s="172"/>
      <c r="AP41" s="90">
        <f t="shared" si="2"/>
        <v>1</v>
      </c>
      <c r="AQ41" s="92">
        <f t="shared" si="1"/>
        <v>11</v>
      </c>
    </row>
    <row r="42" spans="1:43" x14ac:dyDescent="0.2">
      <c r="A42" s="176" t="s">
        <v>4</v>
      </c>
      <c r="B42" s="89">
        <v>42006</v>
      </c>
      <c r="C42" s="101"/>
      <c r="D42" s="101">
        <v>12</v>
      </c>
      <c r="E42" s="90">
        <v>24</v>
      </c>
      <c r="F42" s="113">
        <v>1</v>
      </c>
      <c r="G42" s="116">
        <v>45689</v>
      </c>
      <c r="H42" s="113">
        <v>1</v>
      </c>
      <c r="I42" s="116">
        <v>45724</v>
      </c>
      <c r="J42" s="113">
        <v>0.5</v>
      </c>
      <c r="K42" s="116">
        <v>45758</v>
      </c>
      <c r="L42" s="113">
        <v>2</v>
      </c>
      <c r="M42" s="116" t="s">
        <v>202</v>
      </c>
      <c r="N42" s="113">
        <v>0.5</v>
      </c>
      <c r="O42" s="116">
        <v>45826</v>
      </c>
      <c r="P42" s="113">
        <v>5</v>
      </c>
      <c r="Q42" s="116">
        <v>45853</v>
      </c>
      <c r="R42" s="113">
        <v>0.5</v>
      </c>
      <c r="S42" s="116">
        <v>45883</v>
      </c>
      <c r="T42" s="113">
        <v>0.5</v>
      </c>
      <c r="U42" s="116">
        <v>45896</v>
      </c>
      <c r="V42" s="90">
        <v>0.5</v>
      </c>
      <c r="W42" s="91">
        <v>46052</v>
      </c>
      <c r="X42" s="90">
        <v>0.5</v>
      </c>
      <c r="Y42" s="91">
        <v>46080</v>
      </c>
      <c r="Z42" s="90">
        <v>6</v>
      </c>
      <c r="AA42" s="91" t="s">
        <v>264</v>
      </c>
      <c r="AB42" s="91"/>
      <c r="AC42" s="91"/>
      <c r="AD42" s="91"/>
      <c r="AE42" s="91"/>
      <c r="AF42" s="91"/>
      <c r="AG42" s="91"/>
      <c r="AH42" s="91"/>
      <c r="AI42" s="91"/>
      <c r="AJ42" s="91"/>
      <c r="AK42" s="91"/>
      <c r="AL42" s="91"/>
      <c r="AM42" s="91"/>
      <c r="AN42" s="91"/>
      <c r="AO42" s="91"/>
      <c r="AP42" s="90">
        <f t="shared" si="2"/>
        <v>18</v>
      </c>
      <c r="AQ42" s="92">
        <f t="shared" ref="AQ42" si="3">C42+D42+E42-AP42</f>
        <v>18</v>
      </c>
    </row>
    <row r="43" spans="1:43" x14ac:dyDescent="0.2">
      <c r="A43" s="176" t="s">
        <v>274</v>
      </c>
      <c r="B43" s="170">
        <v>44986</v>
      </c>
      <c r="C43" s="171">
        <v>12</v>
      </c>
      <c r="D43" s="171">
        <v>14</v>
      </c>
      <c r="E43" s="172"/>
      <c r="F43" s="174">
        <v>4</v>
      </c>
      <c r="G43" s="175" t="s">
        <v>276</v>
      </c>
      <c r="H43" s="174">
        <v>9</v>
      </c>
      <c r="I43" s="175" t="s">
        <v>277</v>
      </c>
      <c r="J43" s="174">
        <v>1</v>
      </c>
      <c r="K43" s="175">
        <v>46130</v>
      </c>
      <c r="L43" s="174">
        <v>2</v>
      </c>
      <c r="M43" s="175" t="s">
        <v>278</v>
      </c>
      <c r="N43" s="172">
        <v>6</v>
      </c>
      <c r="O43" s="172" t="s">
        <v>279</v>
      </c>
      <c r="P43" s="172">
        <v>1</v>
      </c>
      <c r="Q43" s="173">
        <v>46081</v>
      </c>
      <c r="R43" s="172">
        <v>1</v>
      </c>
      <c r="S43" s="173">
        <v>46115</v>
      </c>
      <c r="T43" s="172"/>
      <c r="U43" s="172"/>
      <c r="V43" s="172"/>
      <c r="W43" s="172"/>
      <c r="X43" s="172"/>
      <c r="Y43" s="172"/>
      <c r="Z43" s="172"/>
      <c r="AA43" s="172"/>
      <c r="AB43" s="172"/>
      <c r="AC43" s="172"/>
      <c r="AD43" s="172"/>
      <c r="AE43" s="172"/>
      <c r="AF43" s="172"/>
      <c r="AG43" s="172"/>
      <c r="AH43" s="172"/>
      <c r="AI43" s="172"/>
      <c r="AJ43" s="172"/>
      <c r="AK43" s="172"/>
      <c r="AL43" s="172"/>
      <c r="AM43" s="172"/>
      <c r="AN43" s="172"/>
      <c r="AO43" s="172"/>
      <c r="AP43" s="90">
        <f t="shared" si="2"/>
        <v>24</v>
      </c>
      <c r="AQ43" s="92">
        <f t="shared" si="1"/>
        <v>2</v>
      </c>
    </row>
    <row r="44" spans="1:43" ht="12.75" thickBot="1" x14ac:dyDescent="0.25">
      <c r="A44" s="177" t="s">
        <v>275</v>
      </c>
      <c r="B44" s="96"/>
      <c r="C44" s="103"/>
      <c r="D44" s="103"/>
      <c r="E44" s="97"/>
      <c r="F44" s="153">
        <v>1</v>
      </c>
      <c r="G44" s="154">
        <v>46263</v>
      </c>
      <c r="H44" s="153">
        <v>1</v>
      </c>
      <c r="I44" s="154">
        <v>46275</v>
      </c>
      <c r="J44" s="153">
        <v>2</v>
      </c>
      <c r="K44" s="153" t="s">
        <v>280</v>
      </c>
      <c r="L44" s="97">
        <v>1</v>
      </c>
      <c r="M44" s="151">
        <v>46100</v>
      </c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97"/>
      <c r="AG44" s="97"/>
      <c r="AH44" s="97"/>
      <c r="AI44" s="97"/>
      <c r="AJ44" s="97"/>
      <c r="AK44" s="97"/>
      <c r="AL44" s="97"/>
      <c r="AM44" s="97"/>
      <c r="AN44" s="97"/>
      <c r="AO44" s="97"/>
      <c r="AP44" s="97">
        <f t="shared" si="2"/>
        <v>5</v>
      </c>
      <c r="AQ44" s="98">
        <f t="shared" si="1"/>
        <v>-5</v>
      </c>
    </row>
    <row r="45" spans="1:43" x14ac:dyDescent="0.2">
      <c r="AP45" s="152">
        <f>SUM(AP4:AP44)</f>
        <v>301</v>
      </c>
      <c r="AQ45" s="152">
        <f>SUM(AQ4:AQ44)</f>
        <v>445</v>
      </c>
    </row>
    <row r="46" spans="1:43" x14ac:dyDescent="0.2">
      <c r="AP46" s="74"/>
      <c r="AQ46" s="74"/>
    </row>
    <row r="47" spans="1:43" x14ac:dyDescent="0.2">
      <c r="B47" s="93"/>
      <c r="C47" s="93"/>
      <c r="D47" s="93"/>
      <c r="AP47" s="164"/>
      <c r="AQ47" s="164"/>
    </row>
  </sheetData>
  <mergeCells count="3">
    <mergeCell ref="F1:U1"/>
    <mergeCell ref="AP47:AQ47"/>
    <mergeCell ref="C1:E1"/>
  </mergeCells>
  <pageMargins left="0.19685039370078741" right="0.19685039370078741" top="0.39370078740157483" bottom="0.39370078740157483" header="0.31496062992125984" footer="0.31496062992125984"/>
  <pageSetup orientation="landscape" horizontalDpi="300" verticalDpi="300" r:id="rId1"/>
  <ignoredErrors>
    <ignoredError sqref="U12:AE12 AG20:AK20 U16:AE16 G15:Q15 H37:Q37 N44:Q44 N12:Q12 Z10:AE10 G10 AB11:AE11 AB13:AE14 U20:AE20 G18:O18 S17 H20:Q20 U23:AE23 AG23:AK23 U27:AE27 M22:Q24 I22 G26:O28 H31:Q31 L29:Q29 J30:Q30 N36:Q36 J40:Q40 AA15:AE15 Z18:AE18 G38:Q38 Q28 G4 AE6 K5 K7 M10 G16 I16:Q16 S25 V26:AE26 Q33 AG18:AK18 M42:M43 F44:K44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2022-2023</vt:lpstr>
      <vt:lpstr>2023</vt:lpstr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DirFinanzas</dc:creator>
  <cp:lastModifiedBy>PC</cp:lastModifiedBy>
  <cp:lastPrinted>2026-04-14T18:26:27Z</cp:lastPrinted>
  <dcterms:created xsi:type="dcterms:W3CDTF">2023-11-11T16:28:16Z</dcterms:created>
  <dcterms:modified xsi:type="dcterms:W3CDTF">2026-04-14T19:30:19Z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-1324051388</vt:i4>
  </property>
  <property fmtid="{D5CDD505-2E9C-101B-9397-08002B2CF9AE}" pid="3" name="_NewReviewCycle">
    <vt:lpwstr/>
  </property>
  <property fmtid="{D5CDD505-2E9C-101B-9397-08002B2CF9AE}" pid="4" name="_EmailSubject">
    <vt:lpwstr>formato control vacaciones</vt:lpwstr>
  </property>
  <property fmtid="{D5CDD505-2E9C-101B-9397-08002B2CF9AE}" pid="5" name="_AuthorEmail">
    <vt:lpwstr>direccion@carnesdonsaul.com</vt:lpwstr>
  </property>
  <property fmtid="{D5CDD505-2E9C-101B-9397-08002B2CF9AE}" pid="6" name="_AuthorEmailDisplayName">
    <vt:lpwstr>Ing. Alfredo Valverde</vt:lpwstr>
  </property>
  <property fmtid="{D5CDD505-2E9C-101B-9397-08002B2CF9AE}" pid="7" name="_ReviewingToolsShownOnce">
    <vt:lpwstr/>
  </property>
</Properties>
</file>